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dhaii\Python\PANDA\"/>
    </mc:Choice>
  </mc:AlternateContent>
  <xr:revisionPtr revIDLastSave="0" documentId="8_{92DEEB1C-6CA3-405C-B629-563A21CF6F0A}" xr6:coauthVersionLast="47" xr6:coauthVersionMax="47" xr10:uidLastSave="{00000000-0000-0000-0000-000000000000}"/>
  <bookViews>
    <workbookView xWindow="348" yWindow="696" windowWidth="17280" windowHeight="8880" firstSheet="2" activeTab="7" xr2:uid="{A0482DF0-58C2-4B4A-8C94-2159F75AE912}"/>
  </bookViews>
  <sheets>
    <sheet name="book1" sheetId="1" r:id="rId1"/>
    <sheet name="CLASS2" sheetId="4" r:id="rId2"/>
    <sheet name="Sheet3" sheetId="3" r:id="rId3"/>
    <sheet name="CLASS 4" sheetId="5" r:id="rId4"/>
    <sheet name="Sheet1" sheetId="6" r:id="rId5"/>
    <sheet name="Task 2" sheetId="7" r:id="rId6"/>
    <sheet name="CLASS 5" sheetId="8" r:id="rId7"/>
    <sheet name="ExcelFil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9" l="1" a="1"/>
  <c r="L7" i="9" s="1"/>
  <c r="K7" i="9"/>
  <c r="I7" i="9"/>
  <c r="H7" i="9"/>
  <c r="G7" i="9"/>
  <c r="L6" i="9" a="1"/>
  <c r="L6" i="9" s="1"/>
  <c r="K6" i="9"/>
  <c r="I6" i="9"/>
  <c r="H6" i="9"/>
  <c r="G6" i="9"/>
  <c r="L5" i="9" a="1"/>
  <c r="L5" i="9" s="1"/>
  <c r="K5" i="9"/>
  <c r="I5" i="9"/>
  <c r="H5" i="9"/>
  <c r="G5" i="9"/>
  <c r="L4" i="9" a="1"/>
  <c r="L4" i="9" s="1"/>
  <c r="K4" i="9"/>
  <c r="I4" i="9"/>
  <c r="H4" i="9"/>
  <c r="G4" i="9"/>
  <c r="L3" i="9" a="1"/>
  <c r="L3" i="9" s="1"/>
  <c r="K3" i="9"/>
  <c r="I3" i="9"/>
  <c r="H3" i="9"/>
  <c r="G3" i="9"/>
  <c r="L2" i="9" a="1"/>
  <c r="L2" i="9" s="1"/>
  <c r="K2" i="9"/>
  <c r="I2" i="9"/>
  <c r="H2" i="9"/>
  <c r="G2" i="9"/>
  <c r="L24" i="8" a="1"/>
  <c r="L24" i="8"/>
  <c r="L25" i="8" a="1"/>
  <c r="L25" i="8"/>
  <c r="L26" i="8" a="1"/>
  <c r="L26" i="8"/>
  <c r="L27" i="8" a="1"/>
  <c r="L27" i="8"/>
  <c r="L28" i="8" a="1"/>
  <c r="L28" i="8"/>
  <c r="L23" i="8" a="1"/>
  <c r="L23" i="8" s="1"/>
  <c r="K24" i="8"/>
  <c r="K25" i="8"/>
  <c r="K26" i="8"/>
  <c r="K27" i="8"/>
  <c r="K28" i="8"/>
  <c r="K23" i="8"/>
  <c r="I24" i="8"/>
  <c r="I25" i="8"/>
  <c r="I26" i="8"/>
  <c r="I27" i="8"/>
  <c r="I28" i="8"/>
  <c r="I23" i="8"/>
  <c r="H24" i="8"/>
  <c r="H25" i="8"/>
  <c r="H26" i="8"/>
  <c r="H27" i="8"/>
  <c r="H28" i="8"/>
  <c r="H23" i="8"/>
  <c r="G24" i="8"/>
  <c r="G25" i="8"/>
  <c r="G26" i="8"/>
  <c r="G27" i="8"/>
  <c r="G28" i="8"/>
  <c r="G23" i="8"/>
  <c r="C19" i="8"/>
  <c r="J5" i="7"/>
  <c r="I5" i="8"/>
  <c r="I4" i="8"/>
  <c r="D2" i="8"/>
  <c r="D3" i="8"/>
  <c r="I3" i="8"/>
  <c r="I2" i="8"/>
  <c r="D13" i="8"/>
  <c r="D14" i="8"/>
  <c r="D10" i="8"/>
  <c r="D11" i="8"/>
  <c r="D12" i="8"/>
  <c r="F3" i="8"/>
  <c r="F4" i="8"/>
  <c r="F5" i="8"/>
  <c r="F6" i="8"/>
  <c r="F2" i="8"/>
  <c r="E2" i="8"/>
  <c r="E4" i="8"/>
  <c r="E5" i="8"/>
  <c r="E6" i="8"/>
  <c r="E3" i="8"/>
  <c r="D4" i="8"/>
  <c r="D5" i="8"/>
  <c r="D6" i="8"/>
  <c r="K10" i="8"/>
  <c r="K11" i="8"/>
  <c r="K12" i="8"/>
  <c r="K13" i="8"/>
  <c r="K9" i="8"/>
  <c r="O3" i="8"/>
  <c r="P3" i="8" s="1"/>
  <c r="O4" i="8"/>
  <c r="P4" i="8" s="1"/>
  <c r="O2" i="8"/>
  <c r="P2" i="8" s="1"/>
  <c r="I18" i="7"/>
  <c r="I17" i="7"/>
  <c r="I16" i="7"/>
  <c r="I15" i="7"/>
  <c r="I14" i="7"/>
  <c r="I13" i="7"/>
  <c r="I12" i="7"/>
  <c r="I10" i="7"/>
  <c r="I9" i="7"/>
  <c r="I8" i="7"/>
  <c r="I7" i="7"/>
  <c r="I6" i="7"/>
  <c r="I5" i="7"/>
  <c r="I4" i="7"/>
  <c r="L42" i="6"/>
  <c r="L43" i="6"/>
  <c r="L44" i="6"/>
  <c r="L45" i="6"/>
  <c r="L46" i="6"/>
  <c r="L47" i="6"/>
  <c r="L48" i="6"/>
  <c r="L49" i="6"/>
  <c r="L50" i="6"/>
  <c r="L51" i="6"/>
  <c r="L41" i="6"/>
  <c r="A52" i="6"/>
  <c r="D53" i="6"/>
  <c r="D51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O24" i="6"/>
  <c r="O23" i="6"/>
  <c r="O25" i="6"/>
  <c r="O26" i="6"/>
  <c r="M12" i="6"/>
  <c r="M13" i="6"/>
  <c r="M11" i="6"/>
  <c r="F22" i="6"/>
  <c r="F23" i="6"/>
  <c r="F24" i="6"/>
  <c r="F25" i="6"/>
  <c r="F26" i="6"/>
  <c r="F27" i="6"/>
  <c r="J3" i="6"/>
  <c r="J4" i="6"/>
  <c r="J2" i="6"/>
  <c r="E11" i="6"/>
  <c r="E12" i="6"/>
  <c r="E13" i="6"/>
  <c r="E14" i="6"/>
  <c r="E15" i="6"/>
  <c r="E16" i="6"/>
  <c r="E17" i="6"/>
  <c r="E18" i="6"/>
  <c r="E10" i="6"/>
  <c r="D10" i="6"/>
  <c r="D11" i="6"/>
  <c r="D12" i="6"/>
  <c r="D13" i="6"/>
  <c r="D14" i="6"/>
  <c r="D15" i="6"/>
  <c r="D16" i="6"/>
  <c r="D17" i="6"/>
  <c r="D18" i="6"/>
  <c r="C7" i="6"/>
  <c r="F3" i="6"/>
  <c r="F4" i="6"/>
  <c r="F2" i="6"/>
  <c r="B5" i="6"/>
  <c r="A2" i="6"/>
  <c r="A3" i="6"/>
  <c r="A4" i="6"/>
  <c r="A1" i="6"/>
  <c r="C2" i="4"/>
  <c r="C3" i="4"/>
  <c r="C4" i="4"/>
  <c r="C5" i="4"/>
  <c r="E2" i="5"/>
  <c r="D2" i="5"/>
  <c r="B2" i="5"/>
  <c r="A2" i="5"/>
  <c r="A3" i="5"/>
  <c r="A4" i="5"/>
  <c r="A5" i="5"/>
  <c r="A6" i="5"/>
  <c r="A7" i="5"/>
  <c r="A8" i="5"/>
  <c r="A9" i="5"/>
  <c r="A10" i="5"/>
  <c r="A11" i="5"/>
  <c r="A12" i="5"/>
  <c r="A13" i="5"/>
  <c r="A1" i="5"/>
  <c r="D13" i="4"/>
  <c r="H1" i="4"/>
  <c r="G1" i="4"/>
  <c r="C1" i="4"/>
  <c r="B10" i="4"/>
  <c r="B9" i="4"/>
  <c r="B8" i="4"/>
  <c r="B7" i="4"/>
  <c r="B6" i="4"/>
  <c r="F12" i="3"/>
  <c r="F11" i="3"/>
  <c r="G12" i="3" s="1"/>
  <c r="C11" i="3"/>
  <c r="C3" i="3"/>
  <c r="C4" i="3"/>
  <c r="C5" i="3"/>
  <c r="C6" i="3"/>
  <c r="C2" i="3"/>
  <c r="B7" i="3"/>
  <c r="E8" i="3"/>
  <c r="E7" i="3"/>
  <c r="E2" i="1"/>
  <c r="E3" i="1"/>
  <c r="E4" i="1"/>
  <c r="E5" i="1"/>
  <c r="D3" i="1"/>
  <c r="D4" i="1"/>
  <c r="D5" i="1"/>
  <c r="D6" i="1"/>
  <c r="E6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<sst xmlns="http://schemas.openxmlformats.org/spreadsheetml/2006/main" count="498" uniqueCount="245">
  <si>
    <t xml:space="preserve">Student name </t>
  </si>
  <si>
    <t>Student Name</t>
  </si>
  <si>
    <t>marks</t>
  </si>
  <si>
    <t>aayan</t>
  </si>
  <si>
    <t xml:space="preserve">riya </t>
  </si>
  <si>
    <t>sham</t>
  </si>
  <si>
    <t>karan</t>
  </si>
  <si>
    <t>singh</t>
  </si>
  <si>
    <t>Imran</t>
  </si>
  <si>
    <t>Pooja</t>
  </si>
  <si>
    <t>Sameer</t>
  </si>
  <si>
    <t>Aditi</t>
  </si>
  <si>
    <t>Nikhil</t>
  </si>
  <si>
    <t>Marks</t>
  </si>
  <si>
    <t>Total</t>
  </si>
  <si>
    <t xml:space="preserve">Karan </t>
  </si>
  <si>
    <t>Kumar</t>
  </si>
  <si>
    <t>a</t>
  </si>
  <si>
    <t>b</t>
  </si>
  <si>
    <t>c</t>
  </si>
  <si>
    <t>d</t>
  </si>
  <si>
    <t>e</t>
  </si>
  <si>
    <t>TOTAL</t>
  </si>
  <si>
    <t>AVG</t>
  </si>
  <si>
    <t>MAX</t>
  </si>
  <si>
    <t>MIN</t>
  </si>
  <si>
    <t>COUNT</t>
  </si>
  <si>
    <t>Aman</t>
  </si>
  <si>
    <t>Riya</t>
  </si>
  <si>
    <t>ABSENT</t>
  </si>
  <si>
    <t>Avg.</t>
  </si>
  <si>
    <t>MARKS</t>
  </si>
  <si>
    <t>ATTEND</t>
  </si>
  <si>
    <t>DEPARTMENT</t>
  </si>
  <si>
    <t>SCORE</t>
  </si>
  <si>
    <t>CSE</t>
  </si>
  <si>
    <t>ECE</t>
  </si>
  <si>
    <t>STUDENT</t>
  </si>
  <si>
    <t>A</t>
  </si>
  <si>
    <t>B</t>
  </si>
  <si>
    <t>C</t>
  </si>
  <si>
    <t xml:space="preserve">NITISH </t>
  </si>
  <si>
    <t xml:space="preserve">RANA </t>
  </si>
  <si>
    <t>AND WILL RETURN BOOLEAN VALUE</t>
  </si>
  <si>
    <t xml:space="preserve">    Name</t>
  </si>
  <si>
    <t>Type 1</t>
  </si>
  <si>
    <t>Speed</t>
  </si>
  <si>
    <t>Fire Type AND more than 70 Speed</t>
  </si>
  <si>
    <t xml:space="preserve">      Bulbasaur</t>
  </si>
  <si>
    <t>Grass</t>
  </si>
  <si>
    <t xml:space="preserve">      Ivysaur</t>
  </si>
  <si>
    <t xml:space="preserve">      Venusaur</t>
  </si>
  <si>
    <t xml:space="preserve">      Charmander</t>
  </si>
  <si>
    <t>Fire</t>
  </si>
  <si>
    <t xml:space="preserve">      Charmeleon</t>
  </si>
  <si>
    <t xml:space="preserve">      Charizard</t>
  </si>
  <si>
    <t xml:space="preserve">      Squirtle</t>
  </si>
  <si>
    <t>Water</t>
  </si>
  <si>
    <t xml:space="preserve">      Wartortle</t>
  </si>
  <si>
    <t xml:space="preserve">      Blastoise</t>
  </si>
  <si>
    <t xml:space="preserve">    </t>
  </si>
  <si>
    <t xml:space="preserve">ANDIF </t>
  </si>
  <si>
    <t>AVERAGE FUNCTION IGNORE THE TEXT VALUE</t>
  </si>
  <si>
    <t xml:space="preserve">    Trainer</t>
  </si>
  <si>
    <t>Pokeball</t>
  </si>
  <si>
    <t>Great Ball</t>
  </si>
  <si>
    <t>Ultraball</t>
  </si>
  <si>
    <t>Master Ball</t>
  </si>
  <si>
    <t>Average</t>
  </si>
  <si>
    <t xml:space="preserve">    Iva</t>
  </si>
  <si>
    <t xml:space="preserve">    Liam</t>
  </si>
  <si>
    <t xml:space="preserve">    Jenny</t>
  </si>
  <si>
    <t xml:space="preserve">    Iben</t>
  </si>
  <si>
    <t xml:space="preserve">    Adora</t>
  </si>
  <si>
    <t xml:space="preserve">    Kasper</t>
  </si>
  <si>
    <t>NULL</t>
  </si>
  <si>
    <t xml:space="preserve">    Bulbasaur</t>
  </si>
  <si>
    <t>Type</t>
  </si>
  <si>
    <t>Average Speed</t>
  </si>
  <si>
    <t xml:space="preserve">    Ivysaur</t>
  </si>
  <si>
    <t xml:space="preserve">    Venusaur</t>
  </si>
  <si>
    <t xml:space="preserve">    Charmander</t>
  </si>
  <si>
    <t xml:space="preserve">    Charmeleon</t>
  </si>
  <si>
    <t xml:space="preserve">    Charizard</t>
  </si>
  <si>
    <t xml:space="preserve">    Squirtle</t>
  </si>
  <si>
    <t xml:space="preserve">    Wartortle</t>
  </si>
  <si>
    <t xml:space="preserve">    Blastoise</t>
  </si>
  <si>
    <t>Defense</t>
  </si>
  <si>
    <t>Generation</t>
  </si>
  <si>
    <t>Gen.</t>
  </si>
  <si>
    <t>Average Defense</t>
  </si>
  <si>
    <t xml:space="preserve">    Chikorita</t>
  </si>
  <si>
    <t xml:space="preserve">    Bayleef</t>
  </si>
  <si>
    <t xml:space="preserve">    Meganium</t>
  </si>
  <si>
    <t xml:space="preserve">    Cyndaquil</t>
  </si>
  <si>
    <t xml:space="preserve">    Quilava</t>
  </si>
  <si>
    <t xml:space="preserve">    Typhlosion</t>
  </si>
  <si>
    <t>Total stats</t>
  </si>
  <si>
    <t xml:space="preserve">    Mankey</t>
  </si>
  <si>
    <t>Fighting</t>
  </si>
  <si>
    <t xml:space="preserve">    Poliwrath</t>
  </si>
  <si>
    <t xml:space="preserve">    Victreebel</t>
  </si>
  <si>
    <t xml:space="preserve">    Tentacool</t>
  </si>
  <si>
    <t xml:space="preserve">    Magneton</t>
  </si>
  <si>
    <t>Electric</t>
  </si>
  <si>
    <t xml:space="preserve">    Dewgong</t>
  </si>
  <si>
    <t xml:space="preserve">    Cloyster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</si>
  <si>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</si>
  <si>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</si>
  <si>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</si>
  <si>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</si>
  <si>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</si>
  <si>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</si>
  <si>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</si>
  <si>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</si>
  <si>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</si>
  <si>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</si>
  <si>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</si>
  <si>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</si>
  <si>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>Poison</t>
  </si>
  <si>
    <t xml:space="preserve">    Hitmonchan</t>
  </si>
  <si>
    <t xml:space="preserve">    Arbok</t>
  </si>
  <si>
    <t xml:space="preserve">    Gastly</t>
  </si>
  <si>
    <t>Ghost</t>
  </si>
  <si>
    <t xml:space="preserve">    Magikarp</t>
  </si>
  <si>
    <t xml:space="preserve">   Mankey</t>
  </si>
  <si>
    <t>Type 2</t>
  </si>
  <si>
    <t>Steel</t>
  </si>
  <si>
    <t>Ice</t>
  </si>
  <si>
    <t>Ground</t>
  </si>
  <si>
    <t>Flying</t>
  </si>
  <si>
    <t>COUNT -&gt;</t>
  </si>
  <si>
    <t xml:space="preserve">COUNTIF -&gt; </t>
  </si>
  <si>
    <t>PatientID</t>
  </si>
  <si>
    <t>Name</t>
  </si>
  <si>
    <t>Age</t>
  </si>
  <si>
    <t>Disease</t>
  </si>
  <si>
    <t>Bill</t>
  </si>
  <si>
    <t>P1</t>
  </si>
  <si>
    <t>Flu</t>
  </si>
  <si>
    <t>P2</t>
  </si>
  <si>
    <t>P3</t>
  </si>
  <si>
    <t>BP</t>
  </si>
  <si>
    <t>P4</t>
  </si>
  <si>
    <t>Diabetes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</si>
  <si>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</si>
  <si>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</si>
  <si>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</si>
  <si>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</si>
  <si>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</si>
  <si>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</si>
  <si>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</si>
  <si>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</si>
  <si>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</si>
  <si>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</si>
  <si>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</si>
  <si>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</si>
  <si>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</si>
  <si>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</si>
  <si>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</si>
  <si>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</si>
  <si>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Aarav</t>
  </si>
  <si>
    <t>Rohan</t>
  </si>
  <si>
    <t>Priya</t>
  </si>
  <si>
    <t>Ananya</t>
  </si>
  <si>
    <t>Karan</t>
  </si>
  <si>
    <t>Neha</t>
  </si>
  <si>
    <t>Rahul</t>
  </si>
  <si>
    <t>Sneha</t>
  </si>
  <si>
    <t>Aditya</t>
  </si>
  <si>
    <t>Vivek</t>
  </si>
  <si>
    <t>Kavya</t>
  </si>
  <si>
    <t>Arjun</t>
  </si>
  <si>
    <t>Meera</t>
  </si>
  <si>
    <t>Saurabh</t>
  </si>
  <si>
    <t>Tanvi</t>
  </si>
  <si>
    <t>Manish</t>
  </si>
  <si>
    <t>Divya</t>
  </si>
  <si>
    <t>Rohit</t>
  </si>
  <si>
    <t>Nisha</t>
  </si>
  <si>
    <t xml:space="preserve">Count bill amount -&gt; </t>
  </si>
  <si>
    <t xml:space="preserve">CountA patients -&gt; </t>
  </si>
  <si>
    <t>Count missing bills -&gt;</t>
  </si>
  <si>
    <t>Count If bill &gt; 50000 -&gt;</t>
  </si>
  <si>
    <t>Count If disease = dib &amp; age&gt;40 -&gt;</t>
  </si>
  <si>
    <t>Meadain -&gt;</t>
  </si>
  <si>
    <t>Mean -&gt;</t>
  </si>
  <si>
    <t xml:space="preserve">Mode -&gt; </t>
  </si>
  <si>
    <t xml:space="preserve">Max -&gt; </t>
  </si>
  <si>
    <t>Min -&gt;</t>
  </si>
  <si>
    <t>First large bill -&gt;</t>
  </si>
  <si>
    <t>Second large bill -&gt;</t>
  </si>
  <si>
    <t>Second smal bill -&gt;</t>
  </si>
  <si>
    <t>Quartile billing range -&gt;</t>
  </si>
  <si>
    <t>STDEV of bills -&gt;</t>
  </si>
  <si>
    <t>s 1</t>
  </si>
  <si>
    <t>s2</t>
  </si>
  <si>
    <t>s3</t>
  </si>
  <si>
    <t>result</t>
  </si>
  <si>
    <t xml:space="preserve">Rich </t>
  </si>
  <si>
    <t xml:space="preserve">jennifer </t>
  </si>
  <si>
    <t>james</t>
  </si>
  <si>
    <t>lisa</t>
  </si>
  <si>
    <t>sharon</t>
  </si>
  <si>
    <t xml:space="preserve">Score </t>
  </si>
  <si>
    <t>Result</t>
  </si>
  <si>
    <t>Score 1</t>
  </si>
  <si>
    <t>Score2</t>
  </si>
  <si>
    <t>RESULT (OR)</t>
  </si>
  <si>
    <t>NOT (OR)</t>
  </si>
  <si>
    <t>Employee</t>
  </si>
  <si>
    <t>arun</t>
  </si>
  <si>
    <t>divya</t>
  </si>
  <si>
    <t>meena</t>
  </si>
  <si>
    <t>rohan</t>
  </si>
  <si>
    <t>Sales</t>
  </si>
  <si>
    <t>Target</t>
  </si>
  <si>
    <t>Status</t>
  </si>
  <si>
    <t>avg</t>
  </si>
  <si>
    <t xml:space="preserve">Sum </t>
  </si>
  <si>
    <t>Sum if</t>
  </si>
  <si>
    <t>Sum ifs</t>
  </si>
  <si>
    <t>COUNTA WORK ON THE TEXT AND NUMBERS BOTH BUT COUNT WILL WORK ON NUMBER</t>
  </si>
  <si>
    <t xml:space="preserve">nitish </t>
  </si>
  <si>
    <t>rana</t>
  </si>
  <si>
    <t>FARMER</t>
  </si>
  <si>
    <t>F1</t>
  </si>
  <si>
    <t>F2</t>
  </si>
  <si>
    <t>F3</t>
  </si>
  <si>
    <t>F4</t>
  </si>
  <si>
    <t>F5</t>
  </si>
  <si>
    <t>F6</t>
  </si>
  <si>
    <t>CROP</t>
  </si>
  <si>
    <t>Wheat</t>
  </si>
  <si>
    <t>Rice</t>
  </si>
  <si>
    <t>Maize</t>
  </si>
  <si>
    <t>RainFall</t>
  </si>
  <si>
    <t>Soil ph</t>
  </si>
  <si>
    <t>temp</t>
  </si>
  <si>
    <t>yield ton</t>
  </si>
  <si>
    <t>yield clas</t>
  </si>
  <si>
    <t>Ideal Crop</t>
  </si>
  <si>
    <t>Irriggation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</si>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</sst>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3A-4E2B-85A5-8A40698957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3A-4E2B-85A5-8A40698957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3A-4E2B-85A5-8A40698957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3A-4E2B-85A5-8A40698957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3A-4E2B-85A5-8A406989577B}"/>
              </c:ext>
            </c:extLst>
          </c:dPt>
          <c:val>
            <c:numRef>
              <c:f>CLASS2!$B$1:$B$5</c:f>
              <c:numCache>
                <c:formatCode>General</c:formatCode>
                <c:ptCount val="5"/>
                <c:pt idx="0">
                  <c:v>78</c:v>
                </c:pt>
                <c:pt idx="1">
                  <c:v>45</c:v>
                </c:pt>
                <c:pt idx="2">
                  <c:v>62</c:v>
                </c:pt>
                <c:pt idx="3">
                  <c:v>90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2-4CF1-A7F9-50D1A5F78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538893</xdr:colOff>
      <xdr:row>5</xdr:row>
      <xdr:rowOff>104346</xdr:rowOff>
    </xdr:from>
    <xdr:to>
      <xdr:col>12</xdr:col>
      <xdr:colOff>456514</xdr:colOff>
      <xdr:row>20</xdr:row>
      <xdr:rowOff>67276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EB8F9-554F-819A-C3A6-50B521AFB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351B-0DBC-45CB-A144-2BA3D50C0BE3}">
  <dimension ref="B2:E9"/>
  <sheetViews>
    <sheetView zoomScale="97" workbookViewId="0">
      <selection activeCell="D9" sqref="D9"/>
    </sheetView>
  </sheetViews>
  <sheetFormatPr defaultRowHeight="14.4" x14ac:dyDescent="0.3"/>
  <sheetData>
    <row r="2" spans="2:5" x14ac:dyDescent="0.3">
      <c r="B2">
        <v>2</v>
      </c>
      <c r="C2">
        <v>6</v>
      </c>
      <c r="D2">
        <f>B2+C2</f>
        <v>8</v>
      </c>
      <c r="E2">
        <f t="shared" ref="E2:E5" si="0">C2+D2</f>
        <v>14</v>
      </c>
    </row>
    <row r="3" spans="2:5" x14ac:dyDescent="0.3">
      <c r="B3">
        <v>5</v>
      </c>
      <c r="C3">
        <v>5</v>
      </c>
      <c r="D3">
        <f t="shared" ref="D3:D6" si="1">B3+C3</f>
        <v>10</v>
      </c>
      <c r="E3">
        <f t="shared" si="0"/>
        <v>15</v>
      </c>
    </row>
    <row r="4" spans="2:5" x14ac:dyDescent="0.3">
      <c r="B4">
        <v>6</v>
      </c>
      <c r="C4">
        <v>3</v>
      </c>
      <c r="D4">
        <f t="shared" si="1"/>
        <v>9</v>
      </c>
      <c r="E4">
        <f t="shared" si="0"/>
        <v>12</v>
      </c>
    </row>
    <row r="5" spans="2:5" x14ac:dyDescent="0.3">
      <c r="B5">
        <v>4</v>
      </c>
      <c r="C5">
        <v>5</v>
      </c>
      <c r="D5">
        <f t="shared" si="1"/>
        <v>9</v>
      </c>
      <c r="E5">
        <f t="shared" si="0"/>
        <v>14</v>
      </c>
    </row>
    <row r="6" spans="2:5" x14ac:dyDescent="0.3">
      <c r="B6">
        <v>2</v>
      </c>
      <c r="C6">
        <v>8</v>
      </c>
      <c r="D6">
        <f t="shared" si="1"/>
        <v>10</v>
      </c>
      <c r="E6">
        <f>C6+D6</f>
        <v>18</v>
      </c>
    </row>
    <row r="9" spans="2:5" x14ac:dyDescent="0.3">
      <c r="B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D2E4-4635-4463-9865-F1706637D553}">
  <dimension ref="A1:H13"/>
  <sheetViews>
    <sheetView zoomScale="111" workbookViewId="0">
      <selection activeCell="E13" sqref="E13"/>
    </sheetView>
  </sheetViews>
  <sheetFormatPr defaultRowHeight="14.4" x14ac:dyDescent="0.3"/>
  <cols>
    <col min="2" max="2" width="11.77734375" customWidth="1"/>
    <col min="3" max="3" width="13.77734375" customWidth="1"/>
    <col min="7" max="7" width="14.44140625" customWidth="1"/>
  </cols>
  <sheetData>
    <row r="1" spans="1:8" x14ac:dyDescent="0.3">
      <c r="A1" t="s">
        <v>17</v>
      </c>
      <c r="B1">
        <v>78</v>
      </c>
      <c r="C1" t="str">
        <f>IF(B1&gt;=75,"DISTINCTION",IF(B1&gt;=40,"PASS","FAIL"))</f>
        <v>DISTINCTION</v>
      </c>
      <c r="E1" t="s">
        <v>27</v>
      </c>
      <c r="F1">
        <v>234</v>
      </c>
      <c r="G1" t="str">
        <f>_xlfn.CONCAT(E1," ",F1)</f>
        <v>Aman 234</v>
      </c>
      <c r="H1" t="str">
        <f>_xlfn.CONCAT(LEFT(E1,1)," ",RIGHT(F1,1)," ",LEN(E1))</f>
        <v>A 4 4</v>
      </c>
    </row>
    <row r="2" spans="1:8" x14ac:dyDescent="0.3">
      <c r="A2" t="s">
        <v>18</v>
      </c>
      <c r="B2">
        <v>45</v>
      </c>
      <c r="C2" t="str">
        <f t="shared" ref="C2:C5" si="0">IF(B2&gt;=75,"DISTINCTION",IF(B2&gt;=40,"PASS","FAIL"))</f>
        <v>PASS</v>
      </c>
    </row>
    <row r="3" spans="1:8" x14ac:dyDescent="0.3">
      <c r="A3" t="s">
        <v>19</v>
      </c>
      <c r="B3">
        <v>62</v>
      </c>
      <c r="C3" t="str">
        <f t="shared" si="0"/>
        <v>PASS</v>
      </c>
    </row>
    <row r="4" spans="1:8" x14ac:dyDescent="0.3">
      <c r="A4" t="s">
        <v>20</v>
      </c>
      <c r="B4">
        <v>90</v>
      </c>
      <c r="C4" t="str">
        <f t="shared" si="0"/>
        <v>DISTINCTION</v>
      </c>
    </row>
    <row r="5" spans="1:8" x14ac:dyDescent="0.3">
      <c r="A5" t="s">
        <v>21</v>
      </c>
      <c r="B5">
        <v>55</v>
      </c>
      <c r="C5" t="str">
        <f t="shared" si="0"/>
        <v>PASS</v>
      </c>
    </row>
    <row r="6" spans="1:8" x14ac:dyDescent="0.3">
      <c r="A6" t="s">
        <v>22</v>
      </c>
      <c r="B6">
        <f>SUM(B1:B5)</f>
        <v>330</v>
      </c>
    </row>
    <row r="7" spans="1:8" x14ac:dyDescent="0.3">
      <c r="A7" t="s">
        <v>23</v>
      </c>
      <c r="B7">
        <f>AVERAGE(B1:B5)</f>
        <v>66</v>
      </c>
    </row>
    <row r="8" spans="1:8" x14ac:dyDescent="0.3">
      <c r="A8" t="s">
        <v>24</v>
      </c>
      <c r="B8">
        <f>MAX(B1:B5)</f>
        <v>90</v>
      </c>
    </row>
    <row r="9" spans="1:8" x14ac:dyDescent="0.3">
      <c r="A9" t="s">
        <v>25</v>
      </c>
      <c r="B9">
        <f>MIN(B1:B5)</f>
        <v>45</v>
      </c>
    </row>
    <row r="10" spans="1:8" x14ac:dyDescent="0.3">
      <c r="A10" t="s">
        <v>26</v>
      </c>
      <c r="B10">
        <f>COUNT(B1:B5)</f>
        <v>5</v>
      </c>
    </row>
    <row r="13" spans="1:8" x14ac:dyDescent="0.3">
      <c r="A13" t="s">
        <v>28</v>
      </c>
      <c r="B13" s="3">
        <v>38944</v>
      </c>
      <c r="C13" s="3"/>
      <c r="D13" t="str">
        <f>CHAR(ROW()+64)</f>
        <v>M</v>
      </c>
    </row>
  </sheetData>
  <conditionalFormatting sqref="B1">
    <cfRule type="top10" dxfId="6" priority="2" percent="1" rank="10"/>
  </conditionalFormatting>
  <conditionalFormatting sqref="B1:B5">
    <cfRule type="top10" dxfId="5" priority="1" percent="1" rank="10"/>
  </conditionalFormatting>
  <conditionalFormatting sqref="C1:C5">
    <cfRule type="top10" dxfId="4" priority="3" rank="10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63FF-B450-4A08-BB42-3961549E7F12}">
  <dimension ref="A1:G12"/>
  <sheetViews>
    <sheetView topLeftCell="A9" zoomScale="141" zoomScaleNormal="100" workbookViewId="0">
      <selection activeCell="A15" sqref="A15"/>
    </sheetView>
  </sheetViews>
  <sheetFormatPr defaultRowHeight="14.4" x14ac:dyDescent="0.3"/>
  <cols>
    <col min="1" max="1" width="15.109375" customWidth="1"/>
    <col min="3" max="3" width="12.109375" customWidth="1"/>
    <col min="4" max="4" width="14.44140625" customWidth="1"/>
    <col min="5" max="5" width="8.88671875" customWidth="1"/>
    <col min="6" max="6" width="18.88671875" customWidth="1"/>
    <col min="7" max="7" width="10.33203125" bestFit="1" customWidth="1"/>
  </cols>
  <sheetData>
    <row r="1" spans="1:7" x14ac:dyDescent="0.3">
      <c r="A1" t="s">
        <v>1</v>
      </c>
      <c r="B1" t="s">
        <v>2</v>
      </c>
      <c r="D1" t="s">
        <v>1</v>
      </c>
      <c r="E1" t="s">
        <v>13</v>
      </c>
    </row>
    <row r="2" spans="1:7" x14ac:dyDescent="0.3">
      <c r="A2" t="s">
        <v>3</v>
      </c>
      <c r="B2">
        <v>89</v>
      </c>
      <c r="C2" t="str">
        <f>IF(B2&gt;=40,"PASS","FAIL")</f>
        <v>PASS</v>
      </c>
      <c r="D2" t="s">
        <v>8</v>
      </c>
      <c r="E2">
        <v>42</v>
      </c>
    </row>
    <row r="3" spans="1:7" x14ac:dyDescent="0.3">
      <c r="A3" t="s">
        <v>4</v>
      </c>
      <c r="B3">
        <v>29</v>
      </c>
      <c r="C3" t="str">
        <f t="shared" ref="C3:C6" si="0">IF(B3&gt;=40,"PASS","FAIL")</f>
        <v>FAIL</v>
      </c>
      <c r="D3" t="s">
        <v>9</v>
      </c>
      <c r="E3">
        <v>56</v>
      </c>
    </row>
    <row r="4" spans="1:7" x14ac:dyDescent="0.3">
      <c r="A4" t="s">
        <v>5</v>
      </c>
      <c r="B4">
        <v>98</v>
      </c>
      <c r="C4" t="str">
        <f t="shared" si="0"/>
        <v>PASS</v>
      </c>
      <c r="D4" t="s">
        <v>10</v>
      </c>
      <c r="E4">
        <v>80</v>
      </c>
    </row>
    <row r="5" spans="1:7" x14ac:dyDescent="0.3">
      <c r="A5" t="s">
        <v>6</v>
      </c>
      <c r="B5">
        <v>40</v>
      </c>
      <c r="C5" t="str">
        <f t="shared" si="0"/>
        <v>PASS</v>
      </c>
      <c r="D5" t="s">
        <v>11</v>
      </c>
      <c r="E5">
        <v>68</v>
      </c>
    </row>
    <row r="6" spans="1:7" x14ac:dyDescent="0.3">
      <c r="A6" t="s">
        <v>7</v>
      </c>
      <c r="B6">
        <v>35</v>
      </c>
      <c r="C6" t="str">
        <f t="shared" si="0"/>
        <v>FAIL</v>
      </c>
      <c r="D6" t="s">
        <v>12</v>
      </c>
      <c r="E6">
        <v>94</v>
      </c>
    </row>
    <row r="7" spans="1:7" x14ac:dyDescent="0.3">
      <c r="A7" t="s">
        <v>14</v>
      </c>
      <c r="B7">
        <f>SUM(B2:B6)</f>
        <v>291</v>
      </c>
      <c r="E7">
        <f>E2+E3+E4+E5+E6</f>
        <v>340</v>
      </c>
    </row>
    <row r="8" spans="1:7" x14ac:dyDescent="0.3">
      <c r="E8">
        <f>AVERAGE(E2:E6)</f>
        <v>68</v>
      </c>
    </row>
    <row r="11" spans="1:7" x14ac:dyDescent="0.3">
      <c r="A11" t="s">
        <v>15</v>
      </c>
      <c r="B11" t="s">
        <v>16</v>
      </c>
      <c r="C11" t="str">
        <f>_xlfn.CONCAT(A11," ",B11)</f>
        <v>Karan  Kumar</v>
      </c>
      <c r="F11" s="2">
        <f ca="1">TODAY()</f>
        <v>46069</v>
      </c>
      <c r="G11" s="3">
        <v>38920</v>
      </c>
    </row>
    <row r="12" spans="1:7" x14ac:dyDescent="0.3">
      <c r="F12" s="1">
        <f ca="1">NOW()</f>
        <v>46069.437908796295</v>
      </c>
      <c r="G12">
        <f ca="1">DATEDIF(G11,F11,"Y")</f>
        <v>19</v>
      </c>
    </row>
  </sheetData>
  <conditionalFormatting sqref="B2:B6">
    <cfRule type="top10" dxfId="3" priority="2" percent="1" rank="1"/>
    <cfRule type="top10" dxfId="2" priority="3" percent="1" rank="1"/>
    <cfRule type="cellIs" dxfId="1" priority="4" operator="greaterThan">
      <formula>80</formula>
    </cfRule>
    <cfRule type="cellIs" dxfId="0" priority="5" operator="lessThan">
      <formula>40</formula>
    </cfRule>
  </conditionalFormatting>
  <conditionalFormatting sqref="E2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C1A1-E1E3-4B20-8098-30E0010D2649}">
  <dimension ref="A1:E13"/>
  <sheetViews>
    <sheetView zoomScale="120" workbookViewId="0">
      <selection activeCell="C9" sqref="C9"/>
    </sheetView>
  </sheetViews>
  <sheetFormatPr defaultRowHeight="14.4" x14ac:dyDescent="0.3"/>
  <cols>
    <col min="1" max="1" width="13.33203125" customWidth="1"/>
  </cols>
  <sheetData>
    <row r="1" spans="1:5" x14ac:dyDescent="0.3">
      <c r="A1" t="str">
        <f>CHAR(ROW()+96)</f>
        <v>a</v>
      </c>
      <c r="B1">
        <v>1</v>
      </c>
    </row>
    <row r="2" spans="1:5" x14ac:dyDescent="0.3">
      <c r="A2" t="str">
        <f t="shared" ref="A2:A13" si="0">CHAR(ROW()+96)</f>
        <v>b</v>
      </c>
      <c r="B2">
        <f>ROW()</f>
        <v>2</v>
      </c>
      <c r="C2">
        <v>3</v>
      </c>
      <c r="D2">
        <f>B2+C2</f>
        <v>5</v>
      </c>
      <c r="E2">
        <f>D2+B1</f>
        <v>6</v>
      </c>
    </row>
    <row r="3" spans="1:5" x14ac:dyDescent="0.3">
      <c r="A3" t="str">
        <f t="shared" si="0"/>
        <v>c</v>
      </c>
    </row>
    <row r="4" spans="1:5" x14ac:dyDescent="0.3">
      <c r="A4" t="str">
        <f t="shared" si="0"/>
        <v>d</v>
      </c>
    </row>
    <row r="5" spans="1:5" x14ac:dyDescent="0.3">
      <c r="A5" t="str">
        <f t="shared" si="0"/>
        <v>e</v>
      </c>
    </row>
    <row r="6" spans="1:5" x14ac:dyDescent="0.3">
      <c r="A6" t="str">
        <f t="shared" si="0"/>
        <v>f</v>
      </c>
    </row>
    <row r="7" spans="1:5" x14ac:dyDescent="0.3">
      <c r="A7" t="str">
        <f t="shared" si="0"/>
        <v>g</v>
      </c>
    </row>
    <row r="8" spans="1:5" x14ac:dyDescent="0.3">
      <c r="A8" t="str">
        <f t="shared" si="0"/>
        <v>h</v>
      </c>
    </row>
    <row r="9" spans="1:5" x14ac:dyDescent="0.3">
      <c r="A9" t="str">
        <f t="shared" si="0"/>
        <v>i</v>
      </c>
    </row>
    <row r="10" spans="1:5" x14ac:dyDescent="0.3">
      <c r="A10" t="str">
        <f t="shared" si="0"/>
        <v>j</v>
      </c>
    </row>
    <row r="11" spans="1:5" x14ac:dyDescent="0.3">
      <c r="A11" t="str">
        <f t="shared" si="0"/>
        <v>k</v>
      </c>
    </row>
    <row r="12" spans="1:5" x14ac:dyDescent="0.3">
      <c r="A12" t="str">
        <f t="shared" si="0"/>
        <v>l</v>
      </c>
    </row>
    <row r="13" spans="1:5" x14ac:dyDescent="0.3">
      <c r="A13" t="str">
        <f t="shared" si="0"/>
        <v>m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7271-CD7A-4ABA-BC08-3B56639DB39C}">
  <dimension ref="A1:T58"/>
  <sheetViews>
    <sheetView zoomScale="69" workbookViewId="0">
      <selection activeCell="L55" sqref="L55"/>
    </sheetView>
  </sheetViews>
  <sheetFormatPr defaultRowHeight="14.4" x14ac:dyDescent="0.3"/>
  <cols>
    <col min="1" max="1" width="14.33203125" customWidth="1"/>
    <col min="2" max="2" width="19.5546875" customWidth="1"/>
    <col min="3" max="3" width="12.21875" customWidth="1"/>
    <col min="4" max="4" width="30.33203125" customWidth="1"/>
    <col min="5" max="5" width="11" customWidth="1"/>
    <col min="6" max="6" width="29.88671875" customWidth="1"/>
    <col min="8" max="8" width="13.21875" customWidth="1"/>
    <col min="10" max="10" width="12.5546875" customWidth="1"/>
    <col min="13" max="13" width="12.77734375" customWidth="1"/>
    <col min="15" max="15" width="19.6640625" customWidth="1"/>
    <col min="16" max="16" width="18.6640625" customWidth="1"/>
    <col min="17" max="17" width="10.77734375" customWidth="1"/>
    <col min="18" max="18" width="10" customWidth="1"/>
    <col min="19" max="19" width="19.5546875" customWidth="1"/>
    <col min="20" max="20" width="33.88671875" customWidth="1"/>
  </cols>
  <sheetData>
    <row r="1" spans="1:20" x14ac:dyDescent="0.3">
      <c r="A1" t="str">
        <f>CHAR(ROW()+64)</f>
        <v>A</v>
      </c>
      <c r="B1">
        <v>60</v>
      </c>
      <c r="D1" t="s">
        <v>31</v>
      </c>
      <c r="E1" t="s">
        <v>32</v>
      </c>
      <c r="H1" t="s">
        <v>33</v>
      </c>
      <c r="I1" t="s">
        <v>34</v>
      </c>
      <c r="L1" t="s">
        <v>37</v>
      </c>
      <c r="M1" t="s">
        <v>31</v>
      </c>
      <c r="P1" t="s">
        <v>44</v>
      </c>
      <c r="Q1" t="s">
        <v>45</v>
      </c>
      <c r="R1" t="s">
        <v>97</v>
      </c>
    </row>
    <row r="2" spans="1:20" x14ac:dyDescent="0.3">
      <c r="A2" t="str">
        <f t="shared" ref="A2:A4" si="0">CHAR(ROW()+64)</f>
        <v>B</v>
      </c>
      <c r="B2">
        <v>70</v>
      </c>
      <c r="D2">
        <v>65</v>
      </c>
      <c r="E2">
        <v>80</v>
      </c>
      <c r="F2" t="b">
        <f>AND(D2&gt;=50,E2&gt;=75)</f>
        <v>1</v>
      </c>
      <c r="H2" t="s">
        <v>35</v>
      </c>
      <c r="I2">
        <v>75</v>
      </c>
      <c r="J2" t="str">
        <f>IF(AND(H2="CSE",I2&gt;=75),"PASS","FAIL")</f>
        <v>PASS</v>
      </c>
      <c r="L2" t="s">
        <v>38</v>
      </c>
      <c r="M2">
        <v>70</v>
      </c>
      <c r="P2" t="s">
        <v>125</v>
      </c>
      <c r="Q2" t="s">
        <v>99</v>
      </c>
      <c r="R2">
        <v>305</v>
      </c>
      <c r="S2" t="str">
        <f t="shared" ref="S2:S21" si="1">_xlfn.CONCAT(P2," ",Q2)</f>
        <v xml:space="preserve">   Mankey Fighting</v>
      </c>
      <c r="T2" t="str">
        <f>_xlfn.CONCAT("The total stats of",P2," are ",R2)</f>
        <v>The total stats of   Mankey are 305</v>
      </c>
    </row>
    <row r="3" spans="1:20" x14ac:dyDescent="0.3">
      <c r="A3" t="str">
        <f t="shared" si="0"/>
        <v>C</v>
      </c>
      <c r="B3" t="s">
        <v>29</v>
      </c>
      <c r="D3">
        <v>55</v>
      </c>
      <c r="E3">
        <v>70</v>
      </c>
      <c r="F3" t="b">
        <f t="shared" ref="F3:F4" si="2">AND(D3&gt;=50,E3&gt;=75)</f>
        <v>0</v>
      </c>
      <c r="H3" t="s">
        <v>36</v>
      </c>
      <c r="I3">
        <v>80</v>
      </c>
      <c r="J3" t="str">
        <f t="shared" ref="J3:J4" si="3">IF(AND(H3="CSE",I3&gt;=75),"PASS","FAIL")</f>
        <v>FAIL</v>
      </c>
      <c r="L3" t="s">
        <v>39</v>
      </c>
      <c r="M3">
        <v>99</v>
      </c>
      <c r="P3" t="s">
        <v>100</v>
      </c>
      <c r="Q3" t="s">
        <v>57</v>
      </c>
      <c r="R3">
        <v>510</v>
      </c>
      <c r="S3" t="str">
        <f t="shared" si="1"/>
        <v xml:space="preserve">    Poliwrath Water</v>
      </c>
      <c r="T3" t="str">
        <f t="shared" ref="T3:T21" si="4">_xlfn.CONCAT("The total stats of",P3," are ",R3)</f>
        <v>The total stats of    Poliwrath are 510</v>
      </c>
    </row>
    <row r="4" spans="1:20" x14ac:dyDescent="0.3">
      <c r="A4" t="str">
        <f t="shared" si="0"/>
        <v>D</v>
      </c>
      <c r="B4">
        <v>80</v>
      </c>
      <c r="D4">
        <v>45</v>
      </c>
      <c r="E4">
        <v>90</v>
      </c>
      <c r="F4" t="b">
        <f t="shared" si="2"/>
        <v>0</v>
      </c>
      <c r="H4" t="s">
        <v>35</v>
      </c>
      <c r="I4">
        <v>65</v>
      </c>
      <c r="J4" t="str">
        <f t="shared" si="3"/>
        <v>FAIL</v>
      </c>
      <c r="L4" t="s">
        <v>40</v>
      </c>
      <c r="M4">
        <v>80</v>
      </c>
      <c r="P4" t="s">
        <v>101</v>
      </c>
      <c r="Q4" t="s">
        <v>49</v>
      </c>
      <c r="R4">
        <v>490</v>
      </c>
      <c r="S4" t="str">
        <f t="shared" si="1"/>
        <v xml:space="preserve">    Victreebel Grass</v>
      </c>
      <c r="T4" t="str">
        <f t="shared" si="4"/>
        <v>The total stats of    Victreebel are 490</v>
      </c>
    </row>
    <row r="5" spans="1:20" ht="14.4" customHeight="1" x14ac:dyDescent="0.3">
      <c r="A5" t="s">
        <v>30</v>
      </c>
      <c r="B5">
        <f>AVERAGE(B1:B4)</f>
        <v>70</v>
      </c>
      <c r="F5" t="s">
        <v>43</v>
      </c>
      <c r="P5" t="s">
        <v>102</v>
      </c>
      <c r="Q5" t="s">
        <v>57</v>
      </c>
      <c r="R5">
        <v>335</v>
      </c>
      <c r="S5" t="str">
        <f t="shared" si="1"/>
        <v xml:space="preserve">    Tentacool Water</v>
      </c>
      <c r="T5" t="str">
        <f t="shared" si="4"/>
        <v>The total stats of    Tentacool are 335</v>
      </c>
    </row>
    <row r="6" spans="1:20" ht="18" customHeight="1" x14ac:dyDescent="0.3">
      <c r="B6" t="s">
        <v>62</v>
      </c>
      <c r="P6" t="s">
        <v>103</v>
      </c>
      <c r="Q6" t="s">
        <v>104</v>
      </c>
      <c r="R6">
        <v>465</v>
      </c>
      <c r="S6" t="str">
        <f t="shared" si="1"/>
        <v xml:space="preserve">    Magneton Electric</v>
      </c>
      <c r="T6" t="str">
        <f t="shared" si="4"/>
        <v>The total stats of    Magneton are 465</v>
      </c>
    </row>
    <row r="7" spans="1:20" x14ac:dyDescent="0.3">
      <c r="A7" t="s">
        <v>41</v>
      </c>
      <c r="B7" t="s">
        <v>42</v>
      </c>
      <c r="C7" t="str">
        <f>_xlfn.CONCAT(A7,B7)</f>
        <v xml:space="preserve">NITISH RANA </v>
      </c>
      <c r="P7" t="s">
        <v>105</v>
      </c>
      <c r="Q7" t="s">
        <v>57</v>
      </c>
      <c r="R7">
        <v>475</v>
      </c>
      <c r="S7" t="str">
        <f t="shared" si="1"/>
        <v xml:space="preserve">    Dewgong Water</v>
      </c>
      <c r="T7" t="str">
        <f t="shared" si="4"/>
        <v>The total stats of    Dewgong are 475</v>
      </c>
    </row>
    <row r="8" spans="1:20" x14ac:dyDescent="0.3">
      <c r="P8" t="s">
        <v>106</v>
      </c>
      <c r="Q8" t="s">
        <v>57</v>
      </c>
      <c r="R8">
        <v>525</v>
      </c>
      <c r="S8" t="str">
        <f t="shared" si="1"/>
        <v xml:space="preserve">    Cloyster Water</v>
      </c>
      <c r="T8" t="str">
        <f t="shared" si="4"/>
        <v>The total stats of    Cloyster are 525</v>
      </c>
    </row>
    <row r="9" spans="1:20" x14ac:dyDescent="0.3">
      <c r="A9" t="s">
        <v>44</v>
      </c>
      <c r="B9" t="s">
        <v>45</v>
      </c>
      <c r="C9" t="s">
        <v>46</v>
      </c>
      <c r="D9" t="s">
        <v>47</v>
      </c>
      <c r="E9" t="s">
        <v>61</v>
      </c>
      <c r="H9" t="s">
        <v>44</v>
      </c>
      <c r="I9" t="s">
        <v>45</v>
      </c>
      <c r="J9" t="s">
        <v>46</v>
      </c>
      <c r="P9" t="s">
        <v>107</v>
      </c>
      <c r="Q9" t="s">
        <v>108</v>
      </c>
      <c r="R9">
        <v>385</v>
      </c>
      <c r="S9" t="str">
        <f t="shared" si="1"/>
        <v xml:space="preserve">    Onix Rock</v>
      </c>
      <c r="T9" t="str">
        <f t="shared" si="4"/>
        <v>The total stats of    Onix are 385</v>
      </c>
    </row>
    <row r="10" spans="1:20" x14ac:dyDescent="0.3">
      <c r="A10" t="s">
        <v>48</v>
      </c>
      <c r="B10" t="s">
        <v>49</v>
      </c>
      <c r="C10">
        <v>45</v>
      </c>
      <c r="D10" t="b">
        <f>AND(B10="Fire",C10&gt;70)</f>
        <v>0</v>
      </c>
      <c r="E10" t="str">
        <f>IF(AND(B10="Fire",C10&gt;70),"YES","NO")</f>
        <v>NO</v>
      </c>
      <c r="H10" t="s">
        <v>76</v>
      </c>
      <c r="I10" t="s">
        <v>49</v>
      </c>
      <c r="J10">
        <v>45</v>
      </c>
      <c r="L10" t="s">
        <v>77</v>
      </c>
      <c r="M10" t="s">
        <v>78</v>
      </c>
      <c r="P10" t="s">
        <v>109</v>
      </c>
      <c r="Q10" t="s">
        <v>110</v>
      </c>
      <c r="R10">
        <v>420</v>
      </c>
      <c r="S10" t="str">
        <f t="shared" si="1"/>
        <v xml:space="preserve">    Dragonair Dragon</v>
      </c>
      <c r="T10" t="str">
        <f t="shared" si="4"/>
        <v>The total stats of    Dragonair are 420</v>
      </c>
    </row>
    <row r="11" spans="1:20" x14ac:dyDescent="0.3">
      <c r="A11" t="s">
        <v>50</v>
      </c>
      <c r="B11" t="s">
        <v>49</v>
      </c>
      <c r="C11">
        <v>60</v>
      </c>
      <c r="D11" t="b">
        <f t="shared" ref="D11:D18" si="5">AND(B11="Fire",C11&gt;70)</f>
        <v>0</v>
      </c>
      <c r="E11" t="str">
        <f t="shared" ref="E11:E18" si="6">IF(AND(B11="Fire",C11&gt;70),"YES","NO")</f>
        <v>NO</v>
      </c>
      <c r="H11" t="s">
        <v>79</v>
      </c>
      <c r="I11" t="s">
        <v>49</v>
      </c>
      <c r="J11">
        <v>60</v>
      </c>
      <c r="L11" t="s">
        <v>49</v>
      </c>
      <c r="M11">
        <f>AVERAGEIF(I10:I18,L11,J10:J18)</f>
        <v>61.666666666666664</v>
      </c>
      <c r="P11" t="s">
        <v>111</v>
      </c>
      <c r="Q11" t="s">
        <v>112</v>
      </c>
      <c r="R11">
        <v>349</v>
      </c>
      <c r="S11" t="str">
        <f t="shared" si="1"/>
        <v xml:space="preserve">    Pidgeotto Normal</v>
      </c>
      <c r="T11" t="str">
        <f t="shared" si="4"/>
        <v>The total stats of    Pidgeotto are 349</v>
      </c>
    </row>
    <row r="12" spans="1:20" x14ac:dyDescent="0.3">
      <c r="A12" t="s">
        <v>51</v>
      </c>
      <c r="B12" t="s">
        <v>49</v>
      </c>
      <c r="C12">
        <v>80</v>
      </c>
      <c r="D12" t="b">
        <f t="shared" si="5"/>
        <v>0</v>
      </c>
      <c r="E12" t="str">
        <f t="shared" si="6"/>
        <v>NO</v>
      </c>
      <c r="H12" t="s">
        <v>80</v>
      </c>
      <c r="I12" t="s">
        <v>49</v>
      </c>
      <c r="J12">
        <v>80</v>
      </c>
      <c r="L12" t="s">
        <v>53</v>
      </c>
      <c r="M12">
        <f t="shared" ref="M12:M13" si="7">AVERAGEIF(I11:I19,L12,J11:J19)</f>
        <v>81.666666666666671</v>
      </c>
      <c r="P12" t="s">
        <v>113</v>
      </c>
      <c r="Q12" t="s">
        <v>112</v>
      </c>
      <c r="R12">
        <v>253</v>
      </c>
      <c r="S12" t="str">
        <f t="shared" si="1"/>
        <v xml:space="preserve">    Rattata Normal</v>
      </c>
      <c r="T12" t="str">
        <f t="shared" si="4"/>
        <v>The total stats of    Rattata are 253</v>
      </c>
    </row>
    <row r="13" spans="1:20" x14ac:dyDescent="0.3">
      <c r="A13" t="s">
        <v>52</v>
      </c>
      <c r="B13" t="s">
        <v>53</v>
      </c>
      <c r="C13">
        <v>65</v>
      </c>
      <c r="D13" t="b">
        <f t="shared" si="5"/>
        <v>0</v>
      </c>
      <c r="E13" t="str">
        <f t="shared" si="6"/>
        <v>NO</v>
      </c>
      <c r="H13" t="s">
        <v>81</v>
      </c>
      <c r="I13" t="s">
        <v>53</v>
      </c>
      <c r="J13">
        <v>65</v>
      </c>
      <c r="L13" t="s">
        <v>57</v>
      </c>
      <c r="M13">
        <f t="shared" si="7"/>
        <v>59.666666666666664</v>
      </c>
      <c r="P13" t="s">
        <v>114</v>
      </c>
      <c r="Q13" t="s">
        <v>115</v>
      </c>
      <c r="R13">
        <v>395</v>
      </c>
      <c r="S13" t="str">
        <f t="shared" si="1"/>
        <v xml:space="preserve">    Beedrill Bug</v>
      </c>
      <c r="T13" t="str">
        <f t="shared" si="4"/>
        <v>The total stats of    Beedrill are 395</v>
      </c>
    </row>
    <row r="14" spans="1:20" x14ac:dyDescent="0.3">
      <c r="A14" t="s">
        <v>54</v>
      </c>
      <c r="B14" t="s">
        <v>53</v>
      </c>
      <c r="C14">
        <v>80</v>
      </c>
      <c r="D14" t="b">
        <f t="shared" si="5"/>
        <v>1</v>
      </c>
      <c r="E14" t="str">
        <f t="shared" si="6"/>
        <v>YES</v>
      </c>
      <c r="H14" t="s">
        <v>82</v>
      </c>
      <c r="I14" t="s">
        <v>53</v>
      </c>
      <c r="J14">
        <v>80</v>
      </c>
      <c r="P14" t="s">
        <v>116</v>
      </c>
      <c r="Q14" t="s">
        <v>112</v>
      </c>
      <c r="R14">
        <v>310</v>
      </c>
      <c r="S14" t="str">
        <f t="shared" si="1"/>
        <v xml:space="preserve">    Doduo Normal</v>
      </c>
      <c r="T14" t="str">
        <f t="shared" si="4"/>
        <v>The total stats of    Doduo are 310</v>
      </c>
    </row>
    <row r="15" spans="1:20" x14ac:dyDescent="0.3">
      <c r="A15" t="s">
        <v>55</v>
      </c>
      <c r="B15" t="s">
        <v>53</v>
      </c>
      <c r="C15">
        <v>100</v>
      </c>
      <c r="D15" t="b">
        <f t="shared" si="5"/>
        <v>1</v>
      </c>
      <c r="E15" t="str">
        <f t="shared" si="6"/>
        <v>YES</v>
      </c>
      <c r="H15" t="s">
        <v>83</v>
      </c>
      <c r="I15" t="s">
        <v>53</v>
      </c>
      <c r="J15">
        <v>100</v>
      </c>
      <c r="P15" t="s">
        <v>117</v>
      </c>
      <c r="Q15" t="s">
        <v>57</v>
      </c>
      <c r="R15">
        <v>475</v>
      </c>
      <c r="S15" t="str">
        <f t="shared" si="1"/>
        <v xml:space="preserve">    Kingler Water</v>
      </c>
      <c r="T15" t="str">
        <f t="shared" si="4"/>
        <v>The total stats of    Kingler are 475</v>
      </c>
    </row>
    <row r="16" spans="1:20" x14ac:dyDescent="0.3">
      <c r="A16" t="s">
        <v>56</v>
      </c>
      <c r="B16" t="s">
        <v>57</v>
      </c>
      <c r="C16">
        <v>43</v>
      </c>
      <c r="D16" t="b">
        <f t="shared" si="5"/>
        <v>0</v>
      </c>
      <c r="E16" t="str">
        <f t="shared" si="6"/>
        <v>NO</v>
      </c>
      <c r="H16" t="s">
        <v>84</v>
      </c>
      <c r="I16" t="s">
        <v>57</v>
      </c>
      <c r="J16">
        <v>43</v>
      </c>
      <c r="P16" t="s">
        <v>118</v>
      </c>
      <c r="Q16" t="s">
        <v>119</v>
      </c>
      <c r="R16">
        <v>505</v>
      </c>
      <c r="S16" t="str">
        <f t="shared" si="1"/>
        <v xml:space="preserve">    Nidoqueen Poison</v>
      </c>
      <c r="T16" t="str">
        <f t="shared" si="4"/>
        <v>The total stats of    Nidoqueen are 505</v>
      </c>
    </row>
    <row r="17" spans="1:20" x14ac:dyDescent="0.3">
      <c r="A17" t="s">
        <v>58</v>
      </c>
      <c r="B17" t="s">
        <v>57</v>
      </c>
      <c r="C17">
        <v>58</v>
      </c>
      <c r="D17" t="b">
        <f t="shared" si="5"/>
        <v>0</v>
      </c>
      <c r="E17" t="str">
        <f t="shared" si="6"/>
        <v>NO</v>
      </c>
      <c r="H17" t="s">
        <v>85</v>
      </c>
      <c r="I17" t="s">
        <v>57</v>
      </c>
      <c r="J17">
        <v>58</v>
      </c>
      <c r="P17" t="s">
        <v>120</v>
      </c>
      <c r="Q17" t="s">
        <v>99</v>
      </c>
      <c r="R17">
        <v>455</v>
      </c>
      <c r="S17" t="str">
        <f t="shared" si="1"/>
        <v xml:space="preserve">    Hitmonchan Fighting</v>
      </c>
      <c r="T17" t="str">
        <f t="shared" si="4"/>
        <v>The total stats of    Hitmonchan are 455</v>
      </c>
    </row>
    <row r="18" spans="1:20" x14ac:dyDescent="0.3">
      <c r="A18" t="s">
        <v>59</v>
      </c>
      <c r="B18" t="s">
        <v>57</v>
      </c>
      <c r="C18">
        <v>78</v>
      </c>
      <c r="D18" t="b">
        <f t="shared" si="5"/>
        <v>0</v>
      </c>
      <c r="E18" t="str">
        <f t="shared" si="6"/>
        <v>NO</v>
      </c>
      <c r="H18" t="s">
        <v>86</v>
      </c>
      <c r="I18" t="s">
        <v>57</v>
      </c>
      <c r="J18">
        <v>78</v>
      </c>
      <c r="P18" t="s">
        <v>82</v>
      </c>
      <c r="Q18" t="s">
        <v>53</v>
      </c>
      <c r="R18">
        <v>405</v>
      </c>
      <c r="S18" t="str">
        <f t="shared" si="1"/>
        <v xml:space="preserve">    Charmeleon Fire</v>
      </c>
      <c r="T18" t="str">
        <f t="shared" si="4"/>
        <v>The total stats of    Charmeleon are 405</v>
      </c>
    </row>
    <row r="19" spans="1:20" x14ac:dyDescent="0.3">
      <c r="A19" t="s">
        <v>60</v>
      </c>
      <c r="H19" t="s">
        <v>60</v>
      </c>
      <c r="P19" t="s">
        <v>121</v>
      </c>
      <c r="Q19" t="s">
        <v>119</v>
      </c>
      <c r="R19">
        <v>438</v>
      </c>
      <c r="S19" t="str">
        <f t="shared" si="1"/>
        <v xml:space="preserve">    Arbok Poison</v>
      </c>
      <c r="T19" t="str">
        <f t="shared" si="4"/>
        <v>The total stats of    Arbok are 438</v>
      </c>
    </row>
    <row r="20" spans="1:20" x14ac:dyDescent="0.3">
      <c r="P20" t="s">
        <v>122</v>
      </c>
      <c r="Q20" t="s">
        <v>123</v>
      </c>
      <c r="R20">
        <v>310</v>
      </c>
      <c r="S20" t="str">
        <f t="shared" si="1"/>
        <v xml:space="preserve">    Gastly Ghost</v>
      </c>
      <c r="T20" t="str">
        <f t="shared" si="4"/>
        <v>The total stats of    Gastly are 310</v>
      </c>
    </row>
    <row r="21" spans="1:20" x14ac:dyDescent="0.3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H21" t="s">
        <v>44</v>
      </c>
      <c r="I21" t="s">
        <v>45</v>
      </c>
      <c r="J21" t="s">
        <v>87</v>
      </c>
      <c r="K21" t="s">
        <v>88</v>
      </c>
      <c r="P21" t="s">
        <v>124</v>
      </c>
      <c r="Q21" t="s">
        <v>57</v>
      </c>
      <c r="R21">
        <v>200</v>
      </c>
      <c r="S21" t="str">
        <f t="shared" si="1"/>
        <v xml:space="preserve">    Magikarp Water</v>
      </c>
      <c r="T21" t="str">
        <f t="shared" si="4"/>
        <v>The total stats of    Magikarp are 200</v>
      </c>
    </row>
    <row r="22" spans="1:20" x14ac:dyDescent="0.3">
      <c r="A22" t="s">
        <v>69</v>
      </c>
      <c r="B22">
        <v>10</v>
      </c>
      <c r="C22">
        <v>4</v>
      </c>
      <c r="D22" t="s">
        <v>75</v>
      </c>
      <c r="E22">
        <v>1</v>
      </c>
      <c r="F22">
        <f t="shared" ref="F22:F27" si="8">AVERAGE(B22:E22)</f>
        <v>5</v>
      </c>
      <c r="H22" t="s">
        <v>76</v>
      </c>
      <c r="I22" t="s">
        <v>49</v>
      </c>
      <c r="J22">
        <v>49</v>
      </c>
      <c r="K22">
        <v>1</v>
      </c>
      <c r="M22" t="s">
        <v>77</v>
      </c>
      <c r="N22" t="s">
        <v>89</v>
      </c>
      <c r="O22" t="s">
        <v>90</v>
      </c>
      <c r="P22" t="s">
        <v>60</v>
      </c>
    </row>
    <row r="23" spans="1:20" x14ac:dyDescent="0.3">
      <c r="A23" t="s">
        <v>70</v>
      </c>
      <c r="B23">
        <v>12</v>
      </c>
      <c r="C23">
        <v>3</v>
      </c>
      <c r="D23">
        <v>0</v>
      </c>
      <c r="E23">
        <v>1</v>
      </c>
      <c r="F23">
        <f t="shared" si="8"/>
        <v>4</v>
      </c>
      <c r="H23" t="s">
        <v>79</v>
      </c>
      <c r="I23" t="s">
        <v>49</v>
      </c>
      <c r="J23">
        <v>63</v>
      </c>
      <c r="K23">
        <v>1</v>
      </c>
      <c r="M23" t="s">
        <v>49</v>
      </c>
      <c r="N23">
        <v>1</v>
      </c>
      <c r="O23">
        <f>AVERAGEIFS(J22:J33,I22:I33,M23,K22:K33,N23)</f>
        <v>65</v>
      </c>
    </row>
    <row r="24" spans="1:20" x14ac:dyDescent="0.3">
      <c r="A24" t="s">
        <v>71</v>
      </c>
      <c r="B24">
        <v>15</v>
      </c>
      <c r="C24">
        <v>1</v>
      </c>
      <c r="D24">
        <v>3</v>
      </c>
      <c r="E24">
        <v>1</v>
      </c>
      <c r="F24">
        <f t="shared" si="8"/>
        <v>5</v>
      </c>
      <c r="H24" t="s">
        <v>80</v>
      </c>
      <c r="I24" t="s">
        <v>49</v>
      </c>
      <c r="J24">
        <v>83</v>
      </c>
      <c r="K24">
        <v>1</v>
      </c>
      <c r="M24" t="s">
        <v>53</v>
      </c>
      <c r="N24">
        <v>1</v>
      </c>
      <c r="O24">
        <f>AVERAGEIFS(J23:J34,I23:I34,M24,K23:K34,N24)</f>
        <v>59.666666666666664</v>
      </c>
    </row>
    <row r="25" spans="1:20" x14ac:dyDescent="0.3">
      <c r="A25" t="s">
        <v>72</v>
      </c>
      <c r="B25">
        <v>4</v>
      </c>
      <c r="C25">
        <v>2</v>
      </c>
      <c r="D25">
        <v>6</v>
      </c>
      <c r="E25">
        <v>0</v>
      </c>
      <c r="F25">
        <f t="shared" si="8"/>
        <v>3</v>
      </c>
      <c r="H25" t="s">
        <v>81</v>
      </c>
      <c r="I25" t="s">
        <v>53</v>
      </c>
      <c r="J25">
        <v>43</v>
      </c>
      <c r="K25">
        <v>1</v>
      </c>
      <c r="M25" t="s">
        <v>49</v>
      </c>
      <c r="N25">
        <v>2</v>
      </c>
      <c r="O25">
        <f t="shared" ref="O25:O26" si="9">AVERAGEIFS(J24:J35,I24:I35,M25,K24:K35,N25)</f>
        <v>81.666666666666671</v>
      </c>
    </row>
    <row r="26" spans="1:20" x14ac:dyDescent="0.3">
      <c r="A26" t="s">
        <v>73</v>
      </c>
      <c r="B26">
        <v>10</v>
      </c>
      <c r="C26">
        <v>4</v>
      </c>
      <c r="D26">
        <v>1</v>
      </c>
      <c r="E26">
        <v>1</v>
      </c>
      <c r="F26">
        <f t="shared" si="8"/>
        <v>4</v>
      </c>
      <c r="H26" t="s">
        <v>82</v>
      </c>
      <c r="I26" t="s">
        <v>53</v>
      </c>
      <c r="J26">
        <v>58</v>
      </c>
      <c r="K26">
        <v>1</v>
      </c>
      <c r="M26" t="s">
        <v>53</v>
      </c>
      <c r="N26">
        <v>2</v>
      </c>
      <c r="O26">
        <f t="shared" si="9"/>
        <v>59.666666666666664</v>
      </c>
    </row>
    <row r="27" spans="1:20" x14ac:dyDescent="0.3">
      <c r="A27" t="s">
        <v>74</v>
      </c>
      <c r="B27">
        <v>9</v>
      </c>
      <c r="C27">
        <v>2</v>
      </c>
      <c r="D27">
        <v>1</v>
      </c>
      <c r="E27">
        <v>0</v>
      </c>
      <c r="F27">
        <f t="shared" si="8"/>
        <v>3</v>
      </c>
      <c r="H27" t="s">
        <v>83</v>
      </c>
      <c r="I27" t="s">
        <v>53</v>
      </c>
      <c r="J27">
        <v>78</v>
      </c>
      <c r="K27">
        <v>1</v>
      </c>
    </row>
    <row r="28" spans="1:20" x14ac:dyDescent="0.3">
      <c r="A28" t="s">
        <v>60</v>
      </c>
      <c r="H28" t="s">
        <v>91</v>
      </c>
      <c r="I28" t="s">
        <v>49</v>
      </c>
      <c r="J28">
        <v>65</v>
      </c>
      <c r="K28">
        <v>2</v>
      </c>
    </row>
    <row r="29" spans="1:20" x14ac:dyDescent="0.3">
      <c r="H29" t="s">
        <v>92</v>
      </c>
      <c r="I29" t="s">
        <v>49</v>
      </c>
      <c r="J29">
        <v>80</v>
      </c>
      <c r="K29">
        <v>2</v>
      </c>
    </row>
    <row r="30" spans="1:20" x14ac:dyDescent="0.3">
      <c r="A30" t="s">
        <v>44</v>
      </c>
      <c r="B30" t="s">
        <v>45</v>
      </c>
      <c r="C30" t="s">
        <v>126</v>
      </c>
      <c r="D30" t="s">
        <v>97</v>
      </c>
      <c r="H30" t="s">
        <v>93</v>
      </c>
      <c r="I30" t="s">
        <v>49</v>
      </c>
      <c r="J30">
        <v>100</v>
      </c>
      <c r="K30">
        <v>2</v>
      </c>
    </row>
    <row r="31" spans="1:20" x14ac:dyDescent="0.3">
      <c r="A31" t="s">
        <v>98</v>
      </c>
      <c r="B31" t="s">
        <v>99</v>
      </c>
      <c r="D31">
        <v>305</v>
      </c>
      <c r="H31" t="s">
        <v>94</v>
      </c>
      <c r="I31" t="s">
        <v>53</v>
      </c>
      <c r="J31">
        <v>43</v>
      </c>
      <c r="K31">
        <v>2</v>
      </c>
    </row>
    <row r="32" spans="1:20" x14ac:dyDescent="0.3">
      <c r="A32" t="s">
        <v>100</v>
      </c>
      <c r="B32" t="s">
        <v>57</v>
      </c>
      <c r="C32" t="s">
        <v>99</v>
      </c>
      <c r="D32">
        <v>510</v>
      </c>
      <c r="H32" t="s">
        <v>95</v>
      </c>
      <c r="I32" t="s">
        <v>53</v>
      </c>
      <c r="J32">
        <v>58</v>
      </c>
      <c r="K32">
        <v>2</v>
      </c>
    </row>
    <row r="33" spans="1:12" x14ac:dyDescent="0.3">
      <c r="A33" t="s">
        <v>101</v>
      </c>
      <c r="B33" t="s">
        <v>49</v>
      </c>
      <c r="C33" t="s">
        <v>119</v>
      </c>
      <c r="D33">
        <v>490</v>
      </c>
      <c r="H33" t="s">
        <v>96</v>
      </c>
      <c r="I33" t="s">
        <v>53</v>
      </c>
      <c r="J33">
        <v>78</v>
      </c>
      <c r="K33">
        <v>2</v>
      </c>
    </row>
    <row r="34" spans="1:12" x14ac:dyDescent="0.3">
      <c r="A34" t="s">
        <v>102</v>
      </c>
      <c r="B34" t="s">
        <v>57</v>
      </c>
      <c r="C34" t="s">
        <v>119</v>
      </c>
      <c r="D34">
        <v>335</v>
      </c>
      <c r="H34" t="s">
        <v>60</v>
      </c>
    </row>
    <row r="35" spans="1:12" x14ac:dyDescent="0.3">
      <c r="A35" t="s">
        <v>103</v>
      </c>
      <c r="B35" t="s">
        <v>104</v>
      </c>
      <c r="C35" t="s">
        <v>127</v>
      </c>
      <c r="D35">
        <v>465</v>
      </c>
    </row>
    <row r="36" spans="1:12" x14ac:dyDescent="0.3">
      <c r="A36" t="s">
        <v>105</v>
      </c>
      <c r="B36" t="s">
        <v>57</v>
      </c>
      <c r="C36" t="s">
        <v>128</v>
      </c>
      <c r="D36">
        <v>475</v>
      </c>
    </row>
    <row r="37" spans="1:12" x14ac:dyDescent="0.3">
      <c r="A37" t="s">
        <v>106</v>
      </c>
      <c r="B37" t="s">
        <v>57</v>
      </c>
      <c r="C37" t="s">
        <v>128</v>
      </c>
      <c r="D37">
        <v>525</v>
      </c>
      <c r="F37" t="s">
        <v>44</v>
      </c>
      <c r="G37" t="s">
        <v>45</v>
      </c>
      <c r="H37" t="s">
        <v>126</v>
      </c>
      <c r="I37" t="s">
        <v>97</v>
      </c>
    </row>
    <row r="38" spans="1:12" x14ac:dyDescent="0.3">
      <c r="A38" t="s">
        <v>107</v>
      </c>
      <c r="B38" t="s">
        <v>108</v>
      </c>
      <c r="C38" t="s">
        <v>129</v>
      </c>
      <c r="D38">
        <v>385</v>
      </c>
      <c r="F38" t="s">
        <v>98</v>
      </c>
      <c r="G38" t="s">
        <v>99</v>
      </c>
      <c r="I38">
        <v>305</v>
      </c>
    </row>
    <row r="39" spans="1:12" x14ac:dyDescent="0.3">
      <c r="A39" t="s">
        <v>109</v>
      </c>
      <c r="B39" t="s">
        <v>110</v>
      </c>
      <c r="D39">
        <v>420</v>
      </c>
      <c r="F39" t="s">
        <v>100</v>
      </c>
      <c r="G39" t="s">
        <v>57</v>
      </c>
      <c r="H39" t="s">
        <v>99</v>
      </c>
      <c r="I39">
        <v>510</v>
      </c>
    </row>
    <row r="40" spans="1:12" x14ac:dyDescent="0.3">
      <c r="A40" t="s">
        <v>111</v>
      </c>
      <c r="B40" t="s">
        <v>112</v>
      </c>
      <c r="C40" t="s">
        <v>130</v>
      </c>
      <c r="D40">
        <v>349</v>
      </c>
      <c r="F40" t="s">
        <v>101</v>
      </c>
      <c r="G40" t="s">
        <v>49</v>
      </c>
      <c r="H40" t="s">
        <v>119</v>
      </c>
      <c r="I40">
        <v>490</v>
      </c>
    </row>
    <row r="41" spans="1:12" x14ac:dyDescent="0.3">
      <c r="A41" t="s">
        <v>113</v>
      </c>
      <c r="B41" t="s">
        <v>112</v>
      </c>
      <c r="D41">
        <v>253</v>
      </c>
      <c r="F41" t="s">
        <v>102</v>
      </c>
      <c r="G41" t="s">
        <v>57</v>
      </c>
      <c r="H41" t="s">
        <v>119</v>
      </c>
      <c r="I41">
        <v>335</v>
      </c>
      <c r="K41" t="s">
        <v>49</v>
      </c>
      <c r="L41">
        <f>COUNTIF($G$38:$G$57,K41)</f>
        <v>1</v>
      </c>
    </row>
    <row r="42" spans="1:12" x14ac:dyDescent="0.3">
      <c r="A42" t="s">
        <v>114</v>
      </c>
      <c r="B42" t="s">
        <v>115</v>
      </c>
      <c r="C42" t="s">
        <v>119</v>
      </c>
      <c r="D42">
        <v>395</v>
      </c>
      <c r="F42" t="s">
        <v>103</v>
      </c>
      <c r="G42" t="s">
        <v>104</v>
      </c>
      <c r="H42" t="s">
        <v>127</v>
      </c>
      <c r="I42">
        <v>465</v>
      </c>
      <c r="K42" t="s">
        <v>57</v>
      </c>
      <c r="L42">
        <f t="shared" ref="L42:L51" si="10">COUNTIF($G$38:$G$57,K42)</f>
        <v>6</v>
      </c>
    </row>
    <row r="43" spans="1:12" x14ac:dyDescent="0.3">
      <c r="A43" t="s">
        <v>116</v>
      </c>
      <c r="B43" t="s">
        <v>112</v>
      </c>
      <c r="C43" t="s">
        <v>130</v>
      </c>
      <c r="D43">
        <v>310</v>
      </c>
      <c r="F43" t="s">
        <v>105</v>
      </c>
      <c r="G43" t="s">
        <v>57</v>
      </c>
      <c r="H43" t="s">
        <v>128</v>
      </c>
      <c r="I43">
        <v>475</v>
      </c>
      <c r="K43" t="s">
        <v>104</v>
      </c>
      <c r="L43">
        <f t="shared" si="10"/>
        <v>1</v>
      </c>
    </row>
    <row r="44" spans="1:12" x14ac:dyDescent="0.3">
      <c r="A44" t="s">
        <v>117</v>
      </c>
      <c r="B44" t="s">
        <v>57</v>
      </c>
      <c r="D44">
        <v>475</v>
      </c>
      <c r="F44" t="s">
        <v>106</v>
      </c>
      <c r="G44" t="s">
        <v>57</v>
      </c>
      <c r="H44" t="s">
        <v>128</v>
      </c>
      <c r="I44">
        <v>525</v>
      </c>
      <c r="K44" t="s">
        <v>99</v>
      </c>
      <c r="L44">
        <f t="shared" si="10"/>
        <v>2</v>
      </c>
    </row>
    <row r="45" spans="1:12" x14ac:dyDescent="0.3">
      <c r="A45" t="s">
        <v>118</v>
      </c>
      <c r="B45" t="s">
        <v>119</v>
      </c>
      <c r="C45" t="s">
        <v>129</v>
      </c>
      <c r="D45">
        <v>505</v>
      </c>
      <c r="F45" t="s">
        <v>107</v>
      </c>
      <c r="G45" t="s">
        <v>108</v>
      </c>
      <c r="H45" t="s">
        <v>129</v>
      </c>
      <c r="I45">
        <v>385</v>
      </c>
      <c r="K45" t="s">
        <v>108</v>
      </c>
      <c r="L45">
        <f t="shared" si="10"/>
        <v>1</v>
      </c>
    </row>
    <row r="46" spans="1:12" x14ac:dyDescent="0.3">
      <c r="A46" t="s">
        <v>120</v>
      </c>
      <c r="B46" t="s">
        <v>99</v>
      </c>
      <c r="D46">
        <v>455</v>
      </c>
      <c r="F46" t="s">
        <v>109</v>
      </c>
      <c r="G46" t="s">
        <v>110</v>
      </c>
      <c r="I46">
        <v>420</v>
      </c>
      <c r="K46" t="s">
        <v>110</v>
      </c>
      <c r="L46">
        <f t="shared" si="10"/>
        <v>1</v>
      </c>
    </row>
    <row r="47" spans="1:12" x14ac:dyDescent="0.3">
      <c r="A47" t="s">
        <v>82</v>
      </c>
      <c r="B47" t="s">
        <v>53</v>
      </c>
      <c r="D47">
        <v>405</v>
      </c>
      <c r="F47" t="s">
        <v>111</v>
      </c>
      <c r="G47" t="s">
        <v>112</v>
      </c>
      <c r="H47" t="s">
        <v>130</v>
      </c>
      <c r="I47">
        <v>349</v>
      </c>
      <c r="K47" t="s">
        <v>112</v>
      </c>
      <c r="L47">
        <f t="shared" si="10"/>
        <v>3</v>
      </c>
    </row>
    <row r="48" spans="1:12" x14ac:dyDescent="0.3">
      <c r="A48" t="s">
        <v>121</v>
      </c>
      <c r="B48" t="s">
        <v>119</v>
      </c>
      <c r="D48">
        <v>438</v>
      </c>
      <c r="F48" t="s">
        <v>113</v>
      </c>
      <c r="G48" t="s">
        <v>112</v>
      </c>
      <c r="I48">
        <v>253</v>
      </c>
      <c r="K48" t="s">
        <v>115</v>
      </c>
      <c r="L48">
        <f t="shared" si="10"/>
        <v>1</v>
      </c>
    </row>
    <row r="49" spans="1:12" x14ac:dyDescent="0.3">
      <c r="A49" t="s">
        <v>122</v>
      </c>
      <c r="B49" t="s">
        <v>123</v>
      </c>
      <c r="C49" t="s">
        <v>119</v>
      </c>
      <c r="D49">
        <v>310</v>
      </c>
      <c r="F49" t="s">
        <v>114</v>
      </c>
      <c r="G49" t="s">
        <v>115</v>
      </c>
      <c r="H49" t="s">
        <v>119</v>
      </c>
      <c r="I49">
        <v>395</v>
      </c>
      <c r="K49" t="s">
        <v>119</v>
      </c>
      <c r="L49">
        <f t="shared" si="10"/>
        <v>2</v>
      </c>
    </row>
    <row r="50" spans="1:12" x14ac:dyDescent="0.3">
      <c r="A50" t="s">
        <v>124</v>
      </c>
      <c r="B50" t="s">
        <v>57</v>
      </c>
      <c r="D50">
        <v>200</v>
      </c>
      <c r="F50" t="s">
        <v>116</v>
      </c>
      <c r="G50" t="s">
        <v>112</v>
      </c>
      <c r="H50" t="s">
        <v>130</v>
      </c>
      <c r="I50">
        <v>310</v>
      </c>
      <c r="K50" t="s">
        <v>53</v>
      </c>
      <c r="L50">
        <f t="shared" si="10"/>
        <v>1</v>
      </c>
    </row>
    <row r="51" spans="1:12" x14ac:dyDescent="0.3">
      <c r="A51" t="s">
        <v>60</v>
      </c>
      <c r="C51" t="s">
        <v>131</v>
      </c>
      <c r="D51">
        <f>COUNT(D31:D50)</f>
        <v>20</v>
      </c>
      <c r="F51" t="s">
        <v>117</v>
      </c>
      <c r="G51" t="s">
        <v>57</v>
      </c>
      <c r="I51">
        <v>475</v>
      </c>
      <c r="K51" t="s">
        <v>123</v>
      </c>
      <c r="L51">
        <f t="shared" si="10"/>
        <v>1</v>
      </c>
    </row>
    <row r="52" spans="1:12" x14ac:dyDescent="0.3">
      <c r="A52">
        <f>COUNTA(D31:D50)</f>
        <v>20</v>
      </c>
      <c r="F52" t="s">
        <v>118</v>
      </c>
      <c r="G52" t="s">
        <v>119</v>
      </c>
      <c r="H52" t="s">
        <v>129</v>
      </c>
      <c r="I52">
        <v>505</v>
      </c>
    </row>
    <row r="53" spans="1:12" x14ac:dyDescent="0.3">
      <c r="C53" t="s">
        <v>132</v>
      </c>
      <c r="D53">
        <f>COUNTIF(D31:D50, "&gt;=400")</f>
        <v>11</v>
      </c>
      <c r="F53" t="s">
        <v>120</v>
      </c>
      <c r="G53" t="s">
        <v>99</v>
      </c>
      <c r="I53">
        <v>455</v>
      </c>
    </row>
    <row r="54" spans="1:12" x14ac:dyDescent="0.3">
      <c r="F54" t="s">
        <v>82</v>
      </c>
      <c r="G54" t="s">
        <v>53</v>
      </c>
      <c r="I54">
        <v>405</v>
      </c>
    </row>
    <row r="55" spans="1:12" x14ac:dyDescent="0.3">
      <c r="F55" t="s">
        <v>121</v>
      </c>
      <c r="G55" t="s">
        <v>119</v>
      </c>
      <c r="I55">
        <v>438</v>
      </c>
    </row>
    <row r="56" spans="1:12" x14ac:dyDescent="0.3">
      <c r="F56" t="s">
        <v>122</v>
      </c>
      <c r="G56" t="s">
        <v>123</v>
      </c>
      <c r="H56" t="s">
        <v>119</v>
      </c>
      <c r="I56">
        <v>310</v>
      </c>
    </row>
    <row r="57" spans="1:12" x14ac:dyDescent="0.3">
      <c r="F57" t="s">
        <v>124</v>
      </c>
      <c r="G57" t="s">
        <v>57</v>
      </c>
      <c r="I57">
        <v>200</v>
      </c>
    </row>
    <row r="58" spans="1:12" x14ac:dyDescent="0.3">
      <c r="F58" t="s">
        <v>60</v>
      </c>
      <c r="J58" t="s">
        <v>26</v>
      </c>
    </row>
  </sheetData>
  <pageMargins left="0.7" right="0.7" top="0.75" bottom="0.75" header="0.3" footer="0.3"/>
  <ignoredErrors>
    <ignoredError sqref="O2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CDE4-E7FD-4F6D-95FF-184D9A01F2A6}">
  <dimension ref="A1:K29"/>
  <sheetViews>
    <sheetView workbookViewId="0">
      <selection activeCell="K6" sqref="K6"/>
    </sheetView>
  </sheetViews>
  <sheetFormatPr defaultRowHeight="14.4" x14ac:dyDescent="0.3"/>
  <cols>
    <col min="2" max="2" width="10.33203125" customWidth="1"/>
    <col min="4" max="4" width="11.88671875" customWidth="1"/>
    <col min="8" max="8" width="27.6640625" customWidth="1"/>
    <col min="9" max="9" width="14.77734375" customWidth="1"/>
  </cols>
  <sheetData>
    <row r="1" spans="1:11" ht="15" thickBot="1" x14ac:dyDescent="0.35">
      <c r="A1" s="4" t="s">
        <v>133</v>
      </c>
      <c r="B1" s="4" t="s">
        <v>134</v>
      </c>
      <c r="C1" s="4" t="s">
        <v>135</v>
      </c>
      <c r="D1" s="4" t="s">
        <v>136</v>
      </c>
      <c r="E1" s="4" t="s">
        <v>137</v>
      </c>
    </row>
    <row r="2" spans="1:11" ht="15" thickBot="1" x14ac:dyDescent="0.35">
      <c r="A2" s="4" t="s">
        <v>138</v>
      </c>
      <c r="B2" s="4" t="s">
        <v>161</v>
      </c>
      <c r="C2" s="5">
        <v>34</v>
      </c>
      <c r="D2" s="4" t="s">
        <v>139</v>
      </c>
      <c r="E2" s="6">
        <v>53811</v>
      </c>
    </row>
    <row r="3" spans="1:11" ht="15" thickBot="1" x14ac:dyDescent="0.35">
      <c r="A3" s="4" t="s">
        <v>140</v>
      </c>
      <c r="B3" s="4" t="s">
        <v>162</v>
      </c>
      <c r="C3" s="5">
        <v>59</v>
      </c>
      <c r="D3" s="4" t="s">
        <v>139</v>
      </c>
      <c r="E3" s="6">
        <v>76961</v>
      </c>
    </row>
    <row r="4" spans="1:11" ht="15" thickBot="1" x14ac:dyDescent="0.35">
      <c r="A4" s="4" t="s">
        <v>141</v>
      </c>
      <c r="B4" s="4" t="s">
        <v>163</v>
      </c>
      <c r="C4" s="5">
        <v>56</v>
      </c>
      <c r="D4" s="4" t="s">
        <v>142</v>
      </c>
      <c r="E4" s="6">
        <v>57544</v>
      </c>
      <c r="H4" t="s">
        <v>180</v>
      </c>
      <c r="I4">
        <f>COUNT(E2:E21)</f>
        <v>18</v>
      </c>
    </row>
    <row r="5" spans="1:11" ht="15" thickBot="1" x14ac:dyDescent="0.35">
      <c r="A5" s="4" t="s">
        <v>143</v>
      </c>
      <c r="B5" s="4" t="s">
        <v>164</v>
      </c>
      <c r="C5" s="5">
        <v>50</v>
      </c>
      <c r="D5" s="4" t="s">
        <v>144</v>
      </c>
      <c r="E5" s="6">
        <v>47348</v>
      </c>
      <c r="H5" t="s">
        <v>181</v>
      </c>
      <c r="I5">
        <f>COUNTA(A2:A21)</f>
        <v>20</v>
      </c>
      <c r="J5">
        <f>COUNTA(E2:E21)</f>
        <v>18</v>
      </c>
      <c r="K5" t="s">
        <v>222</v>
      </c>
    </row>
    <row r="6" spans="1:11" ht="15" thickBot="1" x14ac:dyDescent="0.35">
      <c r="A6" s="4" t="s">
        <v>145</v>
      </c>
      <c r="B6" s="4" t="s">
        <v>165</v>
      </c>
      <c r="C6" s="5">
        <v>52</v>
      </c>
      <c r="D6" s="4" t="s">
        <v>142</v>
      </c>
      <c r="E6" s="6">
        <v>9314</v>
      </c>
      <c r="H6" t="s">
        <v>182</v>
      </c>
      <c r="I6">
        <f>COUNTBLANK(E2:E21)</f>
        <v>2</v>
      </c>
    </row>
    <row r="7" spans="1:11" ht="15" thickBot="1" x14ac:dyDescent="0.35">
      <c r="A7" s="4" t="s">
        <v>146</v>
      </c>
      <c r="B7" s="4" t="s">
        <v>166</v>
      </c>
      <c r="C7" s="5">
        <v>56</v>
      </c>
      <c r="D7" s="4" t="s">
        <v>144</v>
      </c>
      <c r="E7" s="6">
        <v>23955</v>
      </c>
      <c r="H7" t="s">
        <v>183</v>
      </c>
      <c r="I7">
        <f>COUNTIF(E2:E21,"&gt;50000")</f>
        <v>11</v>
      </c>
    </row>
    <row r="8" spans="1:11" ht="15" thickBot="1" x14ac:dyDescent="0.35">
      <c r="A8" s="4" t="s">
        <v>147</v>
      </c>
      <c r="B8" s="4" t="s">
        <v>167</v>
      </c>
      <c r="C8" s="5">
        <v>34</v>
      </c>
      <c r="D8" s="4" t="s">
        <v>142</v>
      </c>
      <c r="E8" s="6">
        <v>50529</v>
      </c>
      <c r="H8" t="s">
        <v>184</v>
      </c>
      <c r="I8">
        <f>COUNTIFS(D2:D21,"Diabetes", C2:C21,"&gt;40")</f>
        <v>4</v>
      </c>
    </row>
    <row r="9" spans="1:11" ht="15" thickBot="1" x14ac:dyDescent="0.35">
      <c r="A9" s="4" t="s">
        <v>148</v>
      </c>
      <c r="B9" s="4" t="s">
        <v>168</v>
      </c>
      <c r="C9" s="5">
        <v>33</v>
      </c>
      <c r="D9" s="4" t="s">
        <v>139</v>
      </c>
      <c r="E9" s="6">
        <v>15508</v>
      </c>
      <c r="H9" t="s">
        <v>186</v>
      </c>
      <c r="I9">
        <f>AVERAGE(E2:E21)</f>
        <v>52717.055555555555</v>
      </c>
    </row>
    <row r="10" spans="1:11" ht="15" thickBot="1" x14ac:dyDescent="0.35">
      <c r="A10" s="4" t="s">
        <v>149</v>
      </c>
      <c r="B10" s="4" t="s">
        <v>169</v>
      </c>
      <c r="C10" s="5">
        <v>27</v>
      </c>
      <c r="D10" s="4" t="s">
        <v>144</v>
      </c>
      <c r="E10" s="6">
        <v>71749</v>
      </c>
      <c r="H10" t="s">
        <v>185</v>
      </c>
      <c r="I10">
        <f>MEDIAN(E2:E21)</f>
        <v>52559</v>
      </c>
    </row>
    <row r="11" spans="1:11" ht="15" thickBot="1" x14ac:dyDescent="0.35">
      <c r="A11" s="4" t="s">
        <v>150</v>
      </c>
      <c r="B11" s="4" t="s">
        <v>9</v>
      </c>
      <c r="C11" s="5">
        <v>63</v>
      </c>
      <c r="D11" s="4" t="s">
        <v>144</v>
      </c>
      <c r="E11" s="6"/>
      <c r="H11" t="s">
        <v>187</v>
      </c>
    </row>
    <row r="12" spans="1:11" ht="15" thickBot="1" x14ac:dyDescent="0.35">
      <c r="A12" s="4" t="s">
        <v>151</v>
      </c>
      <c r="B12" s="4" t="s">
        <v>170</v>
      </c>
      <c r="C12" s="5">
        <v>20</v>
      </c>
      <c r="D12" s="4" t="s">
        <v>139</v>
      </c>
      <c r="E12" s="6">
        <v>88639</v>
      </c>
      <c r="H12" t="s">
        <v>188</v>
      </c>
      <c r="I12">
        <f>MAX(E2:E21)</f>
        <v>88639</v>
      </c>
    </row>
    <row r="13" spans="1:11" ht="15" thickBot="1" x14ac:dyDescent="0.35">
      <c r="A13" s="4" t="s">
        <v>152</v>
      </c>
      <c r="B13" s="4" t="s">
        <v>171</v>
      </c>
      <c r="C13" s="5">
        <v>42</v>
      </c>
      <c r="D13" s="4" t="s">
        <v>139</v>
      </c>
      <c r="E13" s="6">
        <v>12516</v>
      </c>
      <c r="H13" t="s">
        <v>189</v>
      </c>
      <c r="I13">
        <f>MIN(E2:E21)</f>
        <v>9314</v>
      </c>
    </row>
    <row r="14" spans="1:11" ht="15" thickBot="1" x14ac:dyDescent="0.35">
      <c r="A14" s="4" t="s">
        <v>153</v>
      </c>
      <c r="B14" s="4" t="s">
        <v>172</v>
      </c>
      <c r="C14" s="5">
        <v>58</v>
      </c>
      <c r="D14" s="4" t="s">
        <v>144</v>
      </c>
      <c r="E14" s="6"/>
      <c r="H14" t="s">
        <v>190</v>
      </c>
      <c r="I14">
        <f>LARGE(E2:E21,1)</f>
        <v>88639</v>
      </c>
    </row>
    <row r="15" spans="1:11" ht="15" thickBot="1" x14ac:dyDescent="0.35">
      <c r="A15" s="4" t="s">
        <v>154</v>
      </c>
      <c r="B15" s="4" t="s">
        <v>173</v>
      </c>
      <c r="C15" s="5">
        <v>51</v>
      </c>
      <c r="D15" s="4" t="s">
        <v>142</v>
      </c>
      <c r="E15" s="6">
        <v>38481</v>
      </c>
      <c r="H15" t="s">
        <v>191</v>
      </c>
      <c r="I15">
        <f>LARGE(E2:E21,2)</f>
        <v>80438</v>
      </c>
    </row>
    <row r="16" spans="1:11" ht="15" thickBot="1" x14ac:dyDescent="0.35">
      <c r="A16" s="4" t="s">
        <v>155</v>
      </c>
      <c r="B16" s="4" t="s">
        <v>174</v>
      </c>
      <c r="C16" s="5">
        <v>42</v>
      </c>
      <c r="D16" s="4" t="s">
        <v>139</v>
      </c>
      <c r="E16" s="6">
        <v>77823</v>
      </c>
      <c r="H16" t="s">
        <v>192</v>
      </c>
      <c r="I16">
        <f>SMALL(E2:E21,2)</f>
        <v>12516</v>
      </c>
    </row>
    <row r="17" spans="1:9" ht="15" thickBot="1" x14ac:dyDescent="0.35">
      <c r="A17" s="4" t="s">
        <v>156</v>
      </c>
      <c r="B17" s="4" t="s">
        <v>175</v>
      </c>
      <c r="C17" s="5">
        <v>70</v>
      </c>
      <c r="D17" s="4" t="s">
        <v>139</v>
      </c>
      <c r="E17" s="6">
        <v>51307</v>
      </c>
      <c r="H17" t="s">
        <v>193</v>
      </c>
      <c r="I17">
        <f>_xlfn.QUARTILE.INC(E2:E21,1)</f>
        <v>40697.75</v>
      </c>
    </row>
    <row r="18" spans="1:9" ht="15" thickBot="1" x14ac:dyDescent="0.35">
      <c r="A18" s="4" t="s">
        <v>157</v>
      </c>
      <c r="B18" s="4" t="s">
        <v>176</v>
      </c>
      <c r="C18" s="5">
        <v>38</v>
      </c>
      <c r="D18" s="4" t="s">
        <v>144</v>
      </c>
      <c r="E18" s="6">
        <v>80438</v>
      </c>
      <c r="H18" t="s">
        <v>194</v>
      </c>
      <c r="I18">
        <f>_xlfn.STDEV.P(E2:E21)</f>
        <v>24079.144312667071</v>
      </c>
    </row>
    <row r="19" spans="1:9" ht="15" thickBot="1" x14ac:dyDescent="0.35">
      <c r="A19" s="4" t="s">
        <v>158</v>
      </c>
      <c r="B19" s="4" t="s">
        <v>177</v>
      </c>
      <c r="C19" s="5">
        <v>31</v>
      </c>
      <c r="D19" s="4" t="s">
        <v>142</v>
      </c>
      <c r="E19" s="6">
        <v>49058</v>
      </c>
    </row>
    <row r="20" spans="1:9" ht="15" thickBot="1" x14ac:dyDescent="0.35">
      <c r="A20" s="4" t="s">
        <v>159</v>
      </c>
      <c r="B20" s="4" t="s">
        <v>178</v>
      </c>
      <c r="C20" s="5">
        <v>48</v>
      </c>
      <c r="D20" s="4" t="s">
        <v>139</v>
      </c>
      <c r="E20" s="6">
        <v>77823</v>
      </c>
    </row>
    <row r="21" spans="1:9" ht="15" thickBot="1" x14ac:dyDescent="0.35">
      <c r="A21" s="4" t="s">
        <v>160</v>
      </c>
      <c r="B21" s="4" t="s">
        <v>179</v>
      </c>
      <c r="C21" s="5">
        <v>69</v>
      </c>
      <c r="D21" s="4" t="s">
        <v>139</v>
      </c>
      <c r="E21" s="6">
        <v>66103</v>
      </c>
    </row>
    <row r="22" spans="1:9" x14ac:dyDescent="0.3">
      <c r="D22" s="7"/>
    </row>
    <row r="23" spans="1:9" x14ac:dyDescent="0.3">
      <c r="D23" s="7"/>
    </row>
    <row r="24" spans="1:9" ht="15" customHeight="1" x14ac:dyDescent="0.3">
      <c r="D24" s="7"/>
    </row>
    <row r="25" spans="1:9" x14ac:dyDescent="0.3">
      <c r="D25" s="7"/>
    </row>
    <row r="26" spans="1:9" x14ac:dyDescent="0.3">
      <c r="D26" s="7"/>
    </row>
    <row r="27" spans="1:9" x14ac:dyDescent="0.3">
      <c r="D27" s="7"/>
    </row>
    <row r="28" spans="1:9" x14ac:dyDescent="0.3">
      <c r="D28" s="7"/>
    </row>
    <row r="29" spans="1:9" x14ac:dyDescent="0.3">
      <c r="D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A12C-75C2-44DC-A7E1-21A81CA07793}">
  <dimension ref="A1:P28"/>
  <sheetViews>
    <sheetView topLeftCell="A14" workbookViewId="0">
      <selection activeCell="E31" sqref="E31"/>
    </sheetView>
  </sheetViews>
  <sheetFormatPr defaultRowHeight="14.4" x14ac:dyDescent="0.3"/>
  <cols>
    <col min="3" max="3" width="9.6640625" customWidth="1"/>
    <col min="4" max="4" width="11.88671875" customWidth="1"/>
    <col min="5" max="5" width="11.33203125" customWidth="1"/>
    <col min="8" max="8" width="10.44140625" customWidth="1"/>
  </cols>
  <sheetData>
    <row r="1" spans="1:16" x14ac:dyDescent="0.3">
      <c r="A1" t="s">
        <v>134</v>
      </c>
      <c r="B1" t="s">
        <v>206</v>
      </c>
      <c r="C1" t="s">
        <v>207</v>
      </c>
      <c r="D1" t="s">
        <v>205</v>
      </c>
      <c r="E1" t="s">
        <v>208</v>
      </c>
      <c r="F1" t="s">
        <v>209</v>
      </c>
      <c r="M1" t="s">
        <v>134</v>
      </c>
      <c r="N1" t="s">
        <v>2</v>
      </c>
      <c r="O1" t="s">
        <v>198</v>
      </c>
    </row>
    <row r="2" spans="1:16" x14ac:dyDescent="0.3">
      <c r="A2" t="s">
        <v>199</v>
      </c>
      <c r="B2">
        <v>93</v>
      </c>
      <c r="C2">
        <v>80</v>
      </c>
      <c r="D2" t="str">
        <f>IF(AND(B2&gt;=60,C2&gt;=90),"GOOD","NOT GOOD")</f>
        <v>NOT GOOD</v>
      </c>
      <c r="E2" t="str">
        <f>IF(OR(B2&gt;=60,C2&gt;=90),"GOOD BOY","NOT GOOD")</f>
        <v>GOOD BOY</v>
      </c>
      <c r="F2" t="b">
        <f>NOT(OR(B2&gt;=60,C2&gt;=80))</f>
        <v>0</v>
      </c>
      <c r="H2" t="s">
        <v>218</v>
      </c>
      <c r="I2">
        <f>AVERAGE(B2:B6)</f>
        <v>66.2</v>
      </c>
      <c r="M2" t="s">
        <v>195</v>
      </c>
      <c r="N2">
        <v>89</v>
      </c>
      <c r="O2" t="str">
        <f>IF(N2&gt;=75,"PASS","FAIL")</f>
        <v>PASS</v>
      </c>
      <c r="P2" t="str">
        <f>IF(AND(N2&gt;90,O2="PASS"),"TOPPER","AVERAGE")</f>
        <v>AVERAGE</v>
      </c>
    </row>
    <row r="3" spans="1:16" x14ac:dyDescent="0.3">
      <c r="A3" t="s">
        <v>200</v>
      </c>
      <c r="B3">
        <v>60</v>
      </c>
      <c r="C3">
        <v>91</v>
      </c>
      <c r="D3" t="str">
        <f>IF(AND(B3&gt;=60,C3&gt;=90),"GOOD","NOT GOOD")</f>
        <v>GOOD</v>
      </c>
      <c r="E3" t="str">
        <f>IF(OR(B3&gt;=60,C3&gt;=90),"GOOD BOY","NOT GOOD")</f>
        <v>GOOD BOY</v>
      </c>
      <c r="F3" t="b">
        <f t="shared" ref="F3:F6" si="0">NOT(OR(B3&gt;=60,C3&gt;=80))</f>
        <v>0</v>
      </c>
      <c r="H3" t="s">
        <v>219</v>
      </c>
      <c r="I3">
        <f>SUM(B2:B6)</f>
        <v>331</v>
      </c>
      <c r="M3" t="s">
        <v>196</v>
      </c>
      <c r="N3">
        <v>99</v>
      </c>
      <c r="O3" t="str">
        <f t="shared" ref="O3:O4" si="1">IF(N3&gt;=75,"PASS","FAIL")</f>
        <v>PASS</v>
      </c>
      <c r="P3" t="str">
        <f t="shared" ref="P3:P4" si="2">IF(AND(N3&gt;90,O3="PASS"),"TOPPER","AVERAGE")</f>
        <v>TOPPER</v>
      </c>
    </row>
    <row r="4" spans="1:16" x14ac:dyDescent="0.3">
      <c r="A4" t="s">
        <v>201</v>
      </c>
      <c r="B4">
        <v>58</v>
      </c>
      <c r="C4">
        <v>75</v>
      </c>
      <c r="D4" t="str">
        <f t="shared" ref="D4:D6" si="3">IF(AND(B4&gt;=60,C4&gt;=90),"GOOD","NOT GOOD")</f>
        <v>NOT GOOD</v>
      </c>
      <c r="E4" t="str">
        <f t="shared" ref="E4:E6" si="4">IF(OR(B4&gt;=60,C4&gt;=90),"GOOD BOY","NOT GOOD")</f>
        <v>NOT GOOD</v>
      </c>
      <c r="F4" t="b">
        <f t="shared" si="0"/>
        <v>1</v>
      </c>
      <c r="H4" t="s">
        <v>220</v>
      </c>
      <c r="I4">
        <f>SUMIF(D2:D6,"GOOD",B2:B6)</f>
        <v>139</v>
      </c>
      <c r="M4" t="s">
        <v>197</v>
      </c>
      <c r="N4">
        <v>71</v>
      </c>
      <c r="O4" t="str">
        <f t="shared" si="1"/>
        <v>FAIL</v>
      </c>
      <c r="P4" t="str">
        <f t="shared" si="2"/>
        <v>AVERAGE</v>
      </c>
    </row>
    <row r="5" spans="1:16" x14ac:dyDescent="0.3">
      <c r="A5" t="s">
        <v>202</v>
      </c>
      <c r="B5">
        <v>79</v>
      </c>
      <c r="C5">
        <v>94</v>
      </c>
      <c r="D5" t="str">
        <f t="shared" si="3"/>
        <v>GOOD</v>
      </c>
      <c r="E5" t="str">
        <f t="shared" si="4"/>
        <v>GOOD BOY</v>
      </c>
      <c r="F5" t="b">
        <f t="shared" si="0"/>
        <v>0</v>
      </c>
      <c r="H5" t="s">
        <v>221</v>
      </c>
      <c r="I5">
        <f>SUMIFS(B2:B6,D2:D6,"GOOD",E2:E6,"GOOD BOY")</f>
        <v>139</v>
      </c>
    </row>
    <row r="6" spans="1:16" x14ac:dyDescent="0.3">
      <c r="A6" t="s">
        <v>203</v>
      </c>
      <c r="B6">
        <v>41</v>
      </c>
      <c r="C6">
        <v>33</v>
      </c>
      <c r="D6" t="str">
        <f t="shared" si="3"/>
        <v>NOT GOOD</v>
      </c>
      <c r="E6" t="str">
        <f t="shared" si="4"/>
        <v>NOT GOOD</v>
      </c>
      <c r="F6" t="b">
        <f t="shared" si="0"/>
        <v>1</v>
      </c>
    </row>
    <row r="8" spans="1:16" x14ac:dyDescent="0.3">
      <c r="I8" t="s">
        <v>134</v>
      </c>
      <c r="J8" t="s">
        <v>204</v>
      </c>
      <c r="K8" t="s">
        <v>205</v>
      </c>
    </row>
    <row r="9" spans="1:16" x14ac:dyDescent="0.3">
      <c r="A9" t="s">
        <v>210</v>
      </c>
      <c r="B9" t="s">
        <v>215</v>
      </c>
      <c r="C9" t="s">
        <v>216</v>
      </c>
      <c r="D9" t="s">
        <v>217</v>
      </c>
      <c r="I9" t="s">
        <v>199</v>
      </c>
      <c r="J9">
        <v>93</v>
      </c>
      <c r="K9" t="str">
        <f>IF(J9&gt;=60,"PASS","FAIL")</f>
        <v>PASS</v>
      </c>
    </row>
    <row r="10" spans="1:16" x14ac:dyDescent="0.3">
      <c r="A10" t="s">
        <v>211</v>
      </c>
      <c r="B10">
        <v>120000</v>
      </c>
      <c r="C10">
        <v>100000</v>
      </c>
      <c r="D10" t="str">
        <f t="shared" ref="D10:D11" si="5">IF(OR(B10&gt;=C10,B10=150000),"Bonus","No Bonus")</f>
        <v>Bonus</v>
      </c>
      <c r="I10" t="s">
        <v>200</v>
      </c>
      <c r="J10">
        <v>60</v>
      </c>
      <c r="K10" t="str">
        <f t="shared" ref="K10:K13" si="6">IF(J10&gt;=60,"PASS","FAIL")</f>
        <v>PASS</v>
      </c>
    </row>
    <row r="11" spans="1:16" x14ac:dyDescent="0.3">
      <c r="A11" t="s">
        <v>212</v>
      </c>
      <c r="B11">
        <v>80000</v>
      </c>
      <c r="C11">
        <v>100000</v>
      </c>
      <c r="D11" t="str">
        <f t="shared" si="5"/>
        <v>No Bonus</v>
      </c>
      <c r="I11" t="s">
        <v>201</v>
      </c>
      <c r="J11">
        <v>58</v>
      </c>
      <c r="K11" t="str">
        <f t="shared" si="6"/>
        <v>FAIL</v>
      </c>
    </row>
    <row r="12" spans="1:16" x14ac:dyDescent="0.3">
      <c r="A12" t="s">
        <v>6</v>
      </c>
      <c r="B12">
        <v>150000</v>
      </c>
      <c r="C12">
        <v>180000</v>
      </c>
      <c r="D12" t="str">
        <f>IF(OR(B12&gt;=C12,B12=150000),"Bonus","No Bonus")</f>
        <v>Bonus</v>
      </c>
      <c r="I12" t="s">
        <v>202</v>
      </c>
      <c r="J12">
        <v>79</v>
      </c>
      <c r="K12" t="str">
        <f t="shared" si="6"/>
        <v>PASS</v>
      </c>
    </row>
    <row r="13" spans="1:16" x14ac:dyDescent="0.3">
      <c r="A13" t="s">
        <v>213</v>
      </c>
      <c r="B13">
        <v>95000</v>
      </c>
      <c r="C13">
        <v>90000</v>
      </c>
      <c r="D13" t="str">
        <f t="shared" ref="D13:D14" si="7">IF(OR(B13&gt;=C13,B13=150000),"Bonus","No Bonus")</f>
        <v>Bonus</v>
      </c>
      <c r="I13" t="s">
        <v>203</v>
      </c>
      <c r="J13">
        <v>41</v>
      </c>
      <c r="K13" t="str">
        <f t="shared" si="6"/>
        <v>FAIL</v>
      </c>
    </row>
    <row r="14" spans="1:16" x14ac:dyDescent="0.3">
      <c r="A14" t="s">
        <v>214</v>
      </c>
      <c r="B14">
        <v>70000</v>
      </c>
      <c r="C14">
        <v>85000</v>
      </c>
      <c r="D14" t="str">
        <f t="shared" si="7"/>
        <v>No Bonus</v>
      </c>
    </row>
    <row r="17" spans="1:12" x14ac:dyDescent="0.3">
      <c r="C17" t="s">
        <v>223</v>
      </c>
    </row>
    <row r="18" spans="1:12" x14ac:dyDescent="0.3">
      <c r="C18" t="s">
        <v>224</v>
      </c>
    </row>
    <row r="19" spans="1:12" x14ac:dyDescent="0.3">
      <c r="C19" t="str">
        <f>_xlfn.CONCAT(C17,C18)</f>
        <v>nitish rana</v>
      </c>
    </row>
    <row r="22" spans="1:12" x14ac:dyDescent="0.3">
      <c r="A22" t="s">
        <v>225</v>
      </c>
      <c r="B22" t="s">
        <v>232</v>
      </c>
      <c r="C22" t="s">
        <v>236</v>
      </c>
      <c r="D22" t="s">
        <v>237</v>
      </c>
      <c r="E22" t="s">
        <v>238</v>
      </c>
      <c r="F22" t="s">
        <v>239</v>
      </c>
      <c r="G22" t="s">
        <v>240</v>
      </c>
      <c r="H22" t="s">
        <v>241</v>
      </c>
      <c r="I22" t="s">
        <v>217</v>
      </c>
      <c r="J22" t="s">
        <v>242</v>
      </c>
    </row>
    <row r="23" spans="1:12" x14ac:dyDescent="0.3">
      <c r="A23" t="s">
        <v>226</v>
      </c>
      <c r="B23" t="s">
        <v>233</v>
      </c>
      <c r="C23">
        <v>120</v>
      </c>
      <c r="D23">
        <v>6.5</v>
      </c>
      <c r="E23">
        <v>24</v>
      </c>
      <c r="F23">
        <v>3.2</v>
      </c>
      <c r="G23" t="str">
        <f>IF(F23&gt;4,"high","low")</f>
        <v>low</v>
      </c>
      <c r="H23" t="str">
        <f>IF(AND(C23&gt;100,AND(D23&gt;6,D23&lt;7)),"Ideal","Not Ideal")</f>
        <v>Ideal</v>
      </c>
      <c r="I23" t="str">
        <f>IF(OR(E23&gt;30,C23&lt;70),"Risk","Safe")</f>
        <v>Safe</v>
      </c>
      <c r="J23" t="s">
        <v>243</v>
      </c>
      <c r="K23" t="str">
        <f>IF(J23 = "YES","ok","PI")</f>
        <v>ok</v>
      </c>
      <c r="L23" t="str" cm="1">
        <f t="array" ref="L23">_xlfn.IFS(F23&gt;=4.5,"Excellent",F23&gt;=3,"good",F23&lt;3,"LOW")</f>
        <v>good</v>
      </c>
    </row>
    <row r="24" spans="1:12" x14ac:dyDescent="0.3">
      <c r="A24" t="s">
        <v>227</v>
      </c>
      <c r="B24" t="s">
        <v>234</v>
      </c>
      <c r="C24">
        <v>220</v>
      </c>
      <c r="D24">
        <v>5.8</v>
      </c>
      <c r="E24">
        <v>30</v>
      </c>
      <c r="F24">
        <v>4.5</v>
      </c>
      <c r="G24" t="str">
        <f t="shared" ref="G24:G28" si="8">IF(F24&gt;4,"high","low")</f>
        <v>high</v>
      </c>
      <c r="H24" t="str">
        <f t="shared" ref="H24:H28" si="9">IF(AND(C24&gt;100,AND(D24&gt;6,D24&lt;7)),"Ideal","Not Ideal")</f>
        <v>Not Ideal</v>
      </c>
      <c r="I24" t="str">
        <f t="shared" ref="I24:I28" si="10">IF(OR(E24&gt;30,C24&lt;70),"Risk","Safe")</f>
        <v>Safe</v>
      </c>
      <c r="J24" t="s">
        <v>243</v>
      </c>
      <c r="K24" t="str">
        <f t="shared" ref="K24:K28" si="11">IF(J24 = "YES","ok","PI")</f>
        <v>ok</v>
      </c>
      <c r="L24" t="str" cm="1">
        <f t="array" ref="L24">_xlfn.IFS(F24&gt;=4.5,"Excellent",F24&gt;=3,"good",F24&lt;3,"LOW")</f>
        <v>Excellent</v>
      </c>
    </row>
    <row r="25" spans="1:12" x14ac:dyDescent="0.3">
      <c r="A25" t="s">
        <v>228</v>
      </c>
      <c r="B25" t="s">
        <v>235</v>
      </c>
      <c r="C25">
        <v>80</v>
      </c>
      <c r="D25">
        <v>7.2</v>
      </c>
      <c r="E25">
        <v>27</v>
      </c>
      <c r="F25">
        <v>2.1</v>
      </c>
      <c r="G25" t="str">
        <f t="shared" si="8"/>
        <v>low</v>
      </c>
      <c r="H25" t="str">
        <f t="shared" si="9"/>
        <v>Not Ideal</v>
      </c>
      <c r="I25" t="str">
        <f t="shared" si="10"/>
        <v>Safe</v>
      </c>
      <c r="J25" t="s">
        <v>244</v>
      </c>
      <c r="K25" t="str">
        <f t="shared" si="11"/>
        <v>PI</v>
      </c>
      <c r="L25" t="str" cm="1">
        <f t="array" ref="L25">_xlfn.IFS(F25&gt;=4.5,"Excellent",F25&gt;=3,"good",F25&lt;3,"LOW")</f>
        <v>LOW</v>
      </c>
    </row>
    <row r="26" spans="1:12" x14ac:dyDescent="0.3">
      <c r="A26" t="s">
        <v>229</v>
      </c>
      <c r="B26" t="s">
        <v>233</v>
      </c>
      <c r="C26">
        <v>140</v>
      </c>
      <c r="D26">
        <v>6.9</v>
      </c>
      <c r="E26">
        <v>22</v>
      </c>
      <c r="F26">
        <v>3.8</v>
      </c>
      <c r="G26" t="str">
        <f t="shared" si="8"/>
        <v>low</v>
      </c>
      <c r="H26" t="str">
        <f t="shared" si="9"/>
        <v>Ideal</v>
      </c>
      <c r="I26" t="str">
        <f t="shared" si="10"/>
        <v>Safe</v>
      </c>
      <c r="J26" t="s">
        <v>243</v>
      </c>
      <c r="K26" t="str">
        <f t="shared" si="11"/>
        <v>ok</v>
      </c>
      <c r="L26" t="str" cm="1">
        <f t="array" ref="L26">_xlfn.IFS(F26&gt;=4.5,"Excellent",F26&gt;=3,"good",F26&lt;3,"LOW")</f>
        <v>good</v>
      </c>
    </row>
    <row r="27" spans="1:12" x14ac:dyDescent="0.3">
      <c r="A27" t="s">
        <v>230</v>
      </c>
      <c r="B27" t="s">
        <v>234</v>
      </c>
      <c r="C27">
        <v>260</v>
      </c>
      <c r="D27">
        <v>5.5</v>
      </c>
      <c r="E27">
        <v>31</v>
      </c>
      <c r="F27">
        <v>4.9000000000000004</v>
      </c>
      <c r="G27" t="str">
        <f t="shared" si="8"/>
        <v>high</v>
      </c>
      <c r="H27" t="str">
        <f t="shared" si="9"/>
        <v>Not Ideal</v>
      </c>
      <c r="I27" t="str">
        <f t="shared" si="10"/>
        <v>Risk</v>
      </c>
      <c r="J27" t="s">
        <v>243</v>
      </c>
      <c r="K27" t="str">
        <f t="shared" si="11"/>
        <v>ok</v>
      </c>
      <c r="L27" t="str" cm="1">
        <f t="array" ref="L27">_xlfn.IFS(F27&gt;=4.5,"Excellent",F27&gt;=3,"good",F27&lt;3,"LOW")</f>
        <v>Excellent</v>
      </c>
    </row>
    <row r="28" spans="1:12" x14ac:dyDescent="0.3">
      <c r="A28" t="s">
        <v>231</v>
      </c>
      <c r="B28" t="s">
        <v>235</v>
      </c>
      <c r="C28">
        <v>60</v>
      </c>
      <c r="D28">
        <v>7.5</v>
      </c>
      <c r="E28">
        <v>29</v>
      </c>
      <c r="F28">
        <v>1.8</v>
      </c>
      <c r="G28" t="str">
        <f t="shared" si="8"/>
        <v>low</v>
      </c>
      <c r="H28" t="str">
        <f t="shared" si="9"/>
        <v>Not Ideal</v>
      </c>
      <c r="I28" t="str">
        <f t="shared" si="10"/>
        <v>Risk</v>
      </c>
      <c r="J28" t="s">
        <v>244</v>
      </c>
      <c r="K28" t="str">
        <f t="shared" si="11"/>
        <v>PI</v>
      </c>
      <c r="L28" t="str" cm="1">
        <f t="array" ref="L28">_xlfn.IFS(F28&gt;=4.5,"Excellent",F28&gt;=3,"good",F28&lt;3,"LOW")</f>
        <v>LOW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0EE1-F2A9-4486-910E-3BE91E7761CA}">
  <dimension ref="A1:L7"/>
  <sheetViews>
    <sheetView tabSelected="1" workbookViewId="0">
      <selection activeCell="H13" sqref="H13"/>
    </sheetView>
  </sheetViews>
  <sheetFormatPr defaultRowHeight="14.4" x14ac:dyDescent="0.3"/>
  <sheetData>
    <row r="1" spans="1:12" x14ac:dyDescent="0.3">
      <c r="A1" t="s">
        <v>225</v>
      </c>
      <c r="B1" t="s">
        <v>232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217</v>
      </c>
      <c r="J1" t="s">
        <v>242</v>
      </c>
    </row>
    <row r="2" spans="1:12" x14ac:dyDescent="0.3">
      <c r="A2" t="s">
        <v>226</v>
      </c>
      <c r="B2" t="s">
        <v>233</v>
      </c>
      <c r="C2">
        <v>120</v>
      </c>
      <c r="D2">
        <v>6.5</v>
      </c>
      <c r="E2">
        <v>24</v>
      </c>
      <c r="F2">
        <v>3.2</v>
      </c>
      <c r="G2" t="str">
        <f>IF(F2&gt;4,"high","low")</f>
        <v>low</v>
      </c>
      <c r="H2" t="str">
        <f>IF(AND(C2&gt;100,AND(D2&gt;6,D2&lt;7)),"Ideal","Not Ideal")</f>
        <v>Ideal</v>
      </c>
      <c r="I2" t="str">
        <f>IF(OR(E2&gt;30,C2&lt;70),"Risk","Safe")</f>
        <v>Safe</v>
      </c>
      <c r="J2" t="s">
        <v>243</v>
      </c>
      <c r="K2" t="str">
        <f>IF(J2 = "YES","ok","PI")</f>
        <v>ok</v>
      </c>
      <c r="L2" t="str" cm="1">
        <f t="array" ref="L2">_xlfn.IFS(F2&gt;=4.5,"Excellent",F2&gt;=3,"good",F2&lt;3,"LOW")</f>
        <v>good</v>
      </c>
    </row>
    <row r="3" spans="1:12" x14ac:dyDescent="0.3">
      <c r="A3" t="s">
        <v>227</v>
      </c>
      <c r="B3" t="s">
        <v>234</v>
      </c>
      <c r="C3">
        <v>220</v>
      </c>
      <c r="D3">
        <v>5.8</v>
      </c>
      <c r="E3">
        <v>30</v>
      </c>
      <c r="F3">
        <v>4.5</v>
      </c>
      <c r="G3" t="str">
        <f t="shared" ref="G3:G7" si="0">IF(F3&gt;4,"high","low")</f>
        <v>high</v>
      </c>
      <c r="H3" t="str">
        <f t="shared" ref="H3:H7" si="1">IF(AND(C3&gt;100,AND(D3&gt;6,D3&lt;7)),"Ideal","Not Ideal")</f>
        <v>Not Ideal</v>
      </c>
      <c r="I3" t="str">
        <f t="shared" ref="I3:I7" si="2">IF(OR(E3&gt;30,C3&lt;70),"Risk","Safe")</f>
        <v>Safe</v>
      </c>
      <c r="J3" t="s">
        <v>243</v>
      </c>
      <c r="K3" t="str">
        <f t="shared" ref="K3:K7" si="3">IF(J3 = "YES","ok","PI")</f>
        <v>ok</v>
      </c>
      <c r="L3" t="str" cm="1">
        <f t="array" ref="L3">_xlfn.IFS(F3&gt;=4.5,"Excellent",F3&gt;=3,"good",F3&lt;3,"LOW")</f>
        <v>Excellent</v>
      </c>
    </row>
    <row r="4" spans="1:12" x14ac:dyDescent="0.3">
      <c r="A4" t="s">
        <v>228</v>
      </c>
      <c r="B4" t="s">
        <v>235</v>
      </c>
      <c r="C4">
        <v>80</v>
      </c>
      <c r="D4">
        <v>7.2</v>
      </c>
      <c r="E4">
        <v>27</v>
      </c>
      <c r="F4">
        <v>2.1</v>
      </c>
      <c r="G4" t="str">
        <f t="shared" si="0"/>
        <v>low</v>
      </c>
      <c r="H4" t="str">
        <f t="shared" si="1"/>
        <v>Not Ideal</v>
      </c>
      <c r="I4" t="str">
        <f t="shared" si="2"/>
        <v>Safe</v>
      </c>
      <c r="J4" t="s">
        <v>244</v>
      </c>
      <c r="K4" t="str">
        <f t="shared" si="3"/>
        <v>PI</v>
      </c>
      <c r="L4" t="str" cm="1">
        <f t="array" ref="L4">_xlfn.IFS(F4&gt;=4.5,"Excellent",F4&gt;=3,"good",F4&lt;3,"LOW")</f>
        <v>LOW</v>
      </c>
    </row>
    <row r="5" spans="1:12" x14ac:dyDescent="0.3">
      <c r="A5" t="s">
        <v>229</v>
      </c>
      <c r="B5" t="s">
        <v>233</v>
      </c>
      <c r="C5">
        <v>140</v>
      </c>
      <c r="D5">
        <v>6.9</v>
      </c>
      <c r="E5">
        <v>22</v>
      </c>
      <c r="F5">
        <v>3.8</v>
      </c>
      <c r="G5" t="str">
        <f t="shared" si="0"/>
        <v>low</v>
      </c>
      <c r="H5" t="str">
        <f t="shared" si="1"/>
        <v>Ideal</v>
      </c>
      <c r="I5" t="str">
        <f t="shared" si="2"/>
        <v>Safe</v>
      </c>
      <c r="J5" t="s">
        <v>243</v>
      </c>
      <c r="K5" t="str">
        <f t="shared" si="3"/>
        <v>ok</v>
      </c>
      <c r="L5" t="str" cm="1">
        <f t="array" ref="L5">_xlfn.IFS(F5&gt;=4.5,"Excellent",F5&gt;=3,"good",F5&lt;3,"LOW")</f>
        <v>good</v>
      </c>
    </row>
    <row r="6" spans="1:12" x14ac:dyDescent="0.3">
      <c r="A6" t="s">
        <v>230</v>
      </c>
      <c r="B6" t="s">
        <v>234</v>
      </c>
      <c r="C6">
        <v>260</v>
      </c>
      <c r="D6">
        <v>5.5</v>
      </c>
      <c r="E6">
        <v>31</v>
      </c>
      <c r="F6">
        <v>4.9000000000000004</v>
      </c>
      <c r="G6" t="str">
        <f t="shared" si="0"/>
        <v>high</v>
      </c>
      <c r="H6" t="str">
        <f t="shared" si="1"/>
        <v>Not Ideal</v>
      </c>
      <c r="I6" t="str">
        <f t="shared" si="2"/>
        <v>Risk</v>
      </c>
      <c r="J6" t="s">
        <v>243</v>
      </c>
      <c r="K6" t="str">
        <f t="shared" si="3"/>
        <v>ok</v>
      </c>
      <c r="L6" t="str" cm="1">
        <f t="array" ref="L6">_xlfn.IFS(F6&gt;=4.5,"Excellent",F6&gt;=3,"good",F6&lt;3,"LOW")</f>
        <v>Excellent</v>
      </c>
    </row>
    <row r="7" spans="1:12" x14ac:dyDescent="0.3">
      <c r="A7" t="s">
        <v>231</v>
      </c>
      <c r="B7" t="s">
        <v>235</v>
      </c>
      <c r="C7">
        <v>60</v>
      </c>
      <c r="D7">
        <v>7.5</v>
      </c>
      <c r="E7">
        <v>29</v>
      </c>
      <c r="F7">
        <v>1.8</v>
      </c>
      <c r="G7" t="str">
        <f t="shared" si="0"/>
        <v>low</v>
      </c>
      <c r="H7" t="str">
        <f t="shared" si="1"/>
        <v>Not Ideal</v>
      </c>
      <c r="I7" t="str">
        <f t="shared" si="2"/>
        <v>Risk</v>
      </c>
      <c r="J7" t="s">
        <v>244</v>
      </c>
      <c r="K7" t="str">
        <f t="shared" si="3"/>
        <v>PI</v>
      </c>
      <c r="L7" t="str" cm="1">
        <f t="array" ref="L7">_xlfn.IFS(F7&gt;=4.5,"Excellent",F7&gt;=3,"good",F7&lt;3,"LOW")</f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book1</vt:lpstr>
      <vt:lpstr>CLASS2</vt:lpstr>
      <vt:lpstr>Sheet3</vt:lpstr>
      <vt:lpstr>CLASS 4</vt:lpstr>
      <vt:lpstr>Sheet1</vt:lpstr>
      <vt:lpstr>Task 2</vt:lpstr>
      <vt:lpstr>CLASS 5</vt:lpstr>
      <vt:lpstr>ExcelFile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Rana</dc:creator>
  <cp:lastModifiedBy>Nitish Rana</cp:lastModifiedBy>
  <dcterms:created xsi:type="dcterms:W3CDTF">2026-01-23T09:12:29Z</dcterms:created>
  <dcterms:modified xsi:type="dcterms:W3CDTF">2026-02-16T05:00:35Z</dcterms:modified>
</cp:coreProperties>
</file>